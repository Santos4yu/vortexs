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2a5232f2a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6f22dddce9e4076"/>
    <x:sheet xmlns:r="http://schemas.openxmlformats.org/officeDocument/2006/relationships" name="Bet Log" sheetId="2" r:id="R297a19bf712e4a35"/>
    <x:sheet xmlns:r="http://schemas.openxmlformats.org/officeDocument/2006/relationships" name="Lists" sheetId="3" r:id="R08f4480fc976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$#,##0.00;[Red]-$#,##0.00"/>
    <x:numFmt numFmtId="203" formatCode="0.0%;[Red]-0.0%"/>
    <x:numFmt numFmtId="204" formatCode="$#,##0.00"/>
    <x:numFmt numFmtId="205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0F172A"/>
      <x:name val="Carlito"/>
    </x:font>
    <x:font>
      <x:b/>
      <x:sz val="13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</x:fills>
  <x:borders count="19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bottom style="thin">
        <x:color rgb="FFCBD5E1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4" borderId="1" xfId="0" applyNumberFormat="1" applyFont="1" applyFill="1" applyBorder="1" applyAlignment="1">
      <x:alignment horizontal="center" wrapText="0"/>
    </x:xf>
    <x:xf numFmtId="0" fontId="1" fillId="4" borderId="2" xfId="0" applyNumberFormat="1" applyFont="1" applyFill="1" applyBorder="1" applyAlignment="1">
      <x:alignment horizontal="center" wrapText="0"/>
    </x:xf>
    <x:xf numFmtId="0" fontId="1" fillId="4" borderId="3" xfId="0" applyNumberFormat="1" applyFont="1" applyFill="1" applyBorder="1" applyAlignment="1">
      <x:alignment horizontal="center" wrapText="0"/>
    </x:xf>
    <x:xf numFmtId="200" fontId="0" fillId="0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201" fontId="0" fillId="0" borderId="5" xfId="0" applyNumberFormat="1" applyFont="1" applyFill="1" applyBorder="1" applyAlignment="1">
      <x:alignment wrapText="0"/>
    </x:xf>
    <x:xf numFmtId="202" fontId="0" fillId="0" borderId="5" xfId="0" applyNumberFormat="1" applyFont="1" applyFill="1" applyBorder="1" applyAlignment="1">
      <x:alignment wrapText="0"/>
    </x:xf>
    <x:xf numFmtId="203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20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201" fontId="0" fillId="0" borderId="8" xfId="0" applyNumberFormat="1" applyFont="1" applyFill="1" applyBorder="1" applyAlignment="1">
      <x:alignment wrapText="0"/>
    </x:xf>
    <x:xf numFmtId="202" fontId="0" fillId="0" borderId="8" xfId="0" applyNumberFormat="1" applyFont="1" applyFill="1" applyBorder="1" applyAlignment="1">
      <x:alignment wrapText="0"/>
    </x:xf>
    <x:xf numFmtId="203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200" fontId="0" fillId="0" borderId="4" xfId="0" applyNumberFormat="1" applyFont="1" applyFill="1" applyBorder="1" applyAlignment="1">
      <x:alignment horizontal="center" wrapText="0"/>
    </x:xf>
    <x:xf numFmtId="200" fontId="0" fillId="0" borderId="7" xfId="0" applyNumberFormat="1" applyFont="1" applyFill="1" applyBorder="1" applyAlignment="1">
      <x:alignment horizontal="center" wrapText="0"/>
    </x:xf>
    <x:xf numFmtId="0" fontId="0" fillId="0" borderId="5" xfId="0" applyNumberFormat="1" applyFont="1" applyFill="1" applyBorder="1" applyAlignment="1">
      <x:alignment horizontal="center" wrapText="0"/>
    </x:xf>
    <x:xf numFmtId="0" fontId="0" fillId="0" borderId="8" xfId="0" applyNumberFormat="1" applyFont="1" applyFill="1" applyBorder="1" applyAlignment="1">
      <x:alignment horizontal="center" wrapText="0"/>
    </x:xf>
    <x:xf numFmtId="201" fontId="0" fillId="0" borderId="5" xfId="0" applyNumberFormat="1" applyFont="1" applyFill="1" applyBorder="1" applyAlignment="1">
      <x:alignment horizontal="center" wrapText="0"/>
    </x:xf>
    <x:xf numFmtId="201" fontId="0" fillId="0" borderId="8" xfId="0" applyNumberFormat="1" applyFont="1" applyFill="1" applyBorder="1" applyAlignment="1">
      <x:alignment horizontal="center" wrapText="0"/>
    </x:xf>
    <x:xf numFmtId="202" fontId="0" fillId="0" borderId="5" xfId="0" applyNumberFormat="1" applyFont="1" applyFill="1" applyBorder="1" applyAlignment="1">
      <x:alignment horizontal="center" wrapText="0"/>
    </x:xf>
    <x:xf numFmtId="202" fontId="0" fillId="0" borderId="8" xfId="0" applyNumberFormat="1" applyFont="1" applyFill="1" applyBorder="1" applyAlignment="1">
      <x:alignment horizontal="center" wrapText="0"/>
    </x:xf>
    <x:xf numFmtId="203" fontId="0" fillId="0" borderId="5" xfId="0" applyNumberFormat="1" applyFont="1" applyFill="1" applyBorder="1" applyAlignment="1">
      <x:alignment horizontal="center" wrapText="0"/>
    </x:xf>
    <x:xf numFmtId="203" fontId="0" fillId="0" borderId="8" xfId="0" applyNumberFormat="1" applyFont="1" applyFill="1" applyBorder="1" applyAlignment="1">
      <x:alignment horizontal="center" wrapText="0"/>
    </x:xf>
    <x:xf numFmtId="0" fontId="0" fillId="0" borderId="6" xfId="0" applyNumberFormat="1" applyFont="1" applyFill="1" applyBorder="1" applyAlignment="1">
      <x:alignment horizontal="center" wrapText="0"/>
    </x:xf>
    <x:xf numFmtId="0" fontId="0" fillId="0" borderId="9" xfId="0" applyNumberFormat="1" applyFont="1" applyFill="1" applyBorder="1" applyAlignment="1">
      <x:alignment horizontal="center" wrapText="0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4" fontId="5" fillId="6" borderId="0" xfId="0" applyNumberFormat="1" applyFont="1" applyFill="1" applyBorder="1"/>
    <x:xf numFmtId="0" fontId="1" fillId="5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4" fontId="5" fillId="6" borderId="13" xfId="0" applyNumberFormat="1" applyFont="1" applyFill="1" applyBorder="1"/>
    <x:xf numFmtId="0" fontId="6" fillId="3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6" fillId="3" borderId="14" xfId="0" applyNumberFormat="1" applyFont="1" applyFill="1" applyBorder="1"/>
    <x:xf numFmtId="0" fontId="7" fillId="7" borderId="14" xfId="0" applyNumberFormat="1" applyFont="1" applyFill="1" applyBorder="1"/>
    <x:xf numFmtId="202" fontId="7" fillId="7" borderId="14" xfId="0" applyNumberFormat="1" applyFont="1" applyFill="1" applyBorder="1"/>
    <x:xf numFmtId="203" fontId="7" fillId="7" borderId="14" xfId="0" applyNumberFormat="1" applyFont="1" applyFill="1" applyBorder="1"/>
    <x:xf numFmtId="205" fontId="7" fillId="7" borderId="14" xfId="0" applyNumberFormat="1" applyFont="1" applyFill="1" applyBorder="1"/>
    <x:xf numFmtId="0" fontId="1" fillId="4" borderId="14" xfId="0" applyNumberFormat="1" applyFont="1" applyFill="1" applyBorder="1"/>
    <x:xf numFmtId="0" fontId="0" fillId="0" borderId="14" xfId="0" applyNumberFormat="1" applyFont="1" applyFill="1" applyBorder="1"/>
    <x:xf numFmtId="202" fontId="0" fillId="0" borderId="14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0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3" xfId="0" applyNumberFormat="1" applyFont="1" applyFill="1" applyBorder="1"/>
  </x:cellXfs>
  <x:cellStyles count="1">
    <x:cellStyle name="Normal" xfId="0"/>
  </x:cellStyles>
  <x:dxfs count="6">
    <x:dxf>
      <x:font>
        <x:b/>
        <x:color rgb="FF16A34A"/>
      </x:font>
    </x:dxf>
    <x:dxf>
      <x:font>
        <x:b/>
        <x:color rgb="FFDC2626"/>
      </x:font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A34A"/>
      </x:font>
    </x:dxf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5117a0ece4478" /><Relationship Type="http://schemas.openxmlformats.org/officeDocument/2006/relationships/theme" Target="/xl/theme/theme1.xml" Id="R4495a0ca22bb4adc" /><Relationship Type="http://schemas.openxmlformats.org/officeDocument/2006/relationships/sharedStrings" Target="/xl/sharedStrings.xml" Id="Rb963981d3be241cf" /><Relationship Type="http://schemas.openxmlformats.org/officeDocument/2006/relationships/worksheet" Target="/xl/worksheets/sheet1.xml" Id="R26f22dddce9e4076" /><Relationship Type="http://schemas.openxmlformats.org/officeDocument/2006/relationships/worksheet" Target="/xl/worksheets/sheet2.xml" Id="R297a19bf712e4a35" /><Relationship Type="http://schemas.openxmlformats.org/officeDocument/2006/relationships/worksheet" Target="/xl/worksheets/sheet3.xml" Id="R08f4480fc97646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35e9bd2c874a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Profit / Loss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Profit / Loss</c:v>
          </c:tx>
          <c:cat>
            <c:strRef>
              <c:f>'Dashboard'!$D$5:$D$16</c:f>
              <c:strCache>
                <c:ptCount val="0"/>
              </c:strCache>
            </c:strRef>
          </c:cat>
          <c:val>
            <c:numRef>
              <c:f>'Dashboard'!$E$5:$E$16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35e9bd2c874a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tLogTable" displayName="BetLogTable" ref="A4:N204" headerRowCount="1" totalsRowCount="0" totalsRowShown="0">
  <x:tableColumns count="14">
    <x:tableColumn id="1" name="Date"/>
    <x:tableColumn id="2" name="Sport"/>
    <x:tableColumn id="3" name="Sportsbook"/>
    <x:tableColumn id="4" name="Bet / Selection"/>
    <x:tableColumn id="5" name="Bet Type"/>
    <x:tableColumn id="6" name="Odds"/>
    <x:tableColumn id="7" name="Stake"/>
    <x:tableColumn id="8" name="Result"/>
    <x:tableColumn id="9" name="To Win"/>
    <x:tableColumn id="10" name="Profit / Loss"/>
    <x:tableColumn id="11" name="Bankroll"/>
    <x:tableColumn id="12" name="ROI"/>
    <x:tableColumn id="13" name="Notes"/>
    <x:tableColumn id="14" name="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6c07b8bd3c42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aa368378bc4a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4" hidden="0" customWidth="1"/>
    <x:col min="4" max="4" width="15" hidden="0" customWidth="1"/>
    <x:col min="5" max="5" width="15" hidden="0" customWidth="1"/>
    <x:col min="6" max="6" width="4" hidden="0" customWidth="1"/>
  </x:cols>
  <x:sheetData>
    <x:row r="1" ht="34" customHeight="1">
      <x:c r="A1" s="60" t="str">
        <x:v>SPORTS BETTING PROFIT TRACKER</x:v>
      </x:c>
    </x:row>
    <x:row r="2">
      <x:c r="A2" s="7" t="str">
        <x:v>Your bet log drives every number below. Start by entering your bankroll, then log wagers on the Bet Log tab.</x:v>
      </x:c>
    </x:row>
    <x:row r="4">
      <x:c r="A4" s="67" t="str">
        <x:v>SETUP</x:v>
      </x:c>
      <x:c r="B4" s="68"/>
      <x:c r="D4" s="79" t="str">
        <x:v>Month</x:v>
      </x:c>
      <x:c r="E4" s="79" t="str">
        <x:v>Profit / Loss</x:v>
      </x:c>
    </x:row>
    <x:row r="5">
      <x:c r="A5" s="69" t="str">
        <x:v>Starting Bankroll</x:v>
      </x:c>
      <x:c r="B5" s="70" t="n">
        <x:v>16</x:v>
      </x:c>
      <x:c r="D5" s="80" t="str">
        <x:v>Jan</x:v>
      </x:c>
      <x:c r="E5" s="81" t="n">
        <x:f>SUMIFS('Bet Log'!$J$5:$J$204,'Bet Log'!$A$5:$A$204,"&gt;="&amp;DATE(YEAR(TODAY()),1,1),'Bet Log'!$A$5:$A$204,"&lt;"&amp;DATE(YEAR(TODAY()),2,1))</x:f>
        <x:v>0</x:v>
      </x:c>
    </x:row>
    <x:row r="6">
      <x:c r="D6" s="80" t="str">
        <x:v>Feb</x:v>
      </x:c>
      <x:c r="E6" s="81" t="n">
        <x:f>SUMIFS('Bet Log'!$J$5:$J$204,'Bet Log'!$A$5:$A$204,"&gt;="&amp;DATE(YEAR(TODAY()),2,1),'Bet Log'!$A$5:$A$204,"&lt;"&amp;DATE(YEAR(TODAY()),3,1))</x:f>
        <x:v>0</x:v>
      </x:c>
    </x:row>
    <x:row r="7">
      <x:c r="A7" s="74" t="str">
        <x:v>Net Profit / Loss</x:v>
      </x:c>
      <x:c r="B7" s="76" t="n">
        <x:f>SUM('Bet Log'!J5:J204)</x:f>
        <x:v>4.7</x:v>
      </x:c>
      <x:c r="D7" s="80" t="str">
        <x:v>Mar</x:v>
      </x:c>
      <x:c r="E7" s="81" t="n">
        <x:f>SUMIFS('Bet Log'!$J$5:$J$204,'Bet Log'!$A$5:$A$204,"&gt;="&amp;DATE(YEAR(TODAY()),3,1),'Bet Log'!$A$5:$A$204,"&lt;"&amp;DATE(YEAR(TODAY()),4,1))</x:f>
        <x:v>0</x:v>
      </x:c>
    </x:row>
    <x:row r="8">
      <x:c r="A8" s="74" t="str">
        <x:v>Current Bankroll</x:v>
      </x:c>
      <x:c r="B8" s="76" t="n">
        <x:f>B5+B7</x:f>
        <x:v>20.7</x:v>
      </x:c>
      <x:c r="D8" s="80" t="str">
        <x:v>Apr</x:v>
      </x:c>
      <x:c r="E8" s="81" t="n">
        <x:f>SUMIFS('Bet Log'!$J$5:$J$204,'Bet Log'!$A$5:$A$204,"&gt;="&amp;DATE(YEAR(TODAY()),4,1),'Bet Log'!$A$5:$A$204,"&lt;"&amp;DATE(YEAR(TODAY()),5,1))</x:f>
        <x:v>0</x:v>
      </x:c>
    </x:row>
    <x:row r="9">
      <x:c r="A9" s="74" t="str">
        <x:v>Total Staked</x:v>
      </x:c>
      <x:c r="B9" s="76" t="n">
        <x:f>SUM('Bet Log'!G5:G204)</x:f>
        <x:v>3</x:v>
      </x:c>
      <x:c r="D9" s="80" t="str">
        <x:v>May</x:v>
      </x:c>
      <x:c r="E9" s="81" t="n">
        <x:f>SUMIFS('Bet Log'!$J$5:$J$204,'Bet Log'!$A$5:$A$204,"&gt;="&amp;DATE(YEAR(TODAY()),5,1),'Bet Log'!$A$5:$A$204,"&lt;"&amp;DATE(YEAR(TODAY()),6,1))</x:f>
        <x:v>0</x:v>
      </x:c>
    </x:row>
    <x:row r="10">
      <x:c r="A10" s="74" t="str">
        <x:v>ROI</x:v>
      </x:c>
      <x:c r="B10" s="77" t="n">
        <x:f>IFERROR(B7/B9,0)</x:f>
        <x:v>1.5666666666666667</x:v>
      </x:c>
      <x:c r="D10" s="80" t="str">
        <x:v>Jun</x:v>
      </x:c>
      <x:c r="E10" s="81" t="n">
        <x:f>SUMIFS('Bet Log'!$J$5:$J$204,'Bet Log'!$A$5:$A$204,"&gt;="&amp;DATE(YEAR(TODAY()),6,1),'Bet Log'!$A$5:$A$204,"&lt;"&amp;DATE(YEAR(TODAY()),7,1))</x:f>
        <x:v>0</x:v>
      </x:c>
    </x:row>
    <x:row r="11">
      <x:c r="A11" s="74" t="str">
        <x:v>Record</x:v>
      </x:c>
      <x:c r="B11" s="75" t="str">
        <x:f>COUNTIF('Bet Log'!H5:H204,"Win")&amp;" - "&amp;COUNTIF('Bet Log'!H5:H204,"Loss")</x:f>
        <x:v>3 - 0</x:v>
      </x:c>
      <x:c r="D11" s="80" t="str">
        <x:v>Jul</x:v>
      </x:c>
      <x:c r="E11" s="81" t="n">
        <x:f>SUMIFS('Bet Log'!$J$5:$J$204,'Bet Log'!$A$5:$A$204,"&gt;="&amp;DATE(YEAR(TODAY()),7,1),'Bet Log'!$A$5:$A$204,"&lt;"&amp;DATE(YEAR(TODAY()),8,1))</x:f>
        <x:v>4.7</x:v>
      </x:c>
    </x:row>
    <x:row r="12">
      <x:c r="A12" s="74" t="str">
        <x:v>Win Rate</x:v>
      </x:c>
      <x:c r="B12" s="78" t="n">
        <x:f>IFERROR(COUNTIF('Bet Log'!H5:H204,"Win")/(COUNTIF('Bet Log'!H5:H204,"Win")+COUNTIF('Bet Log'!H5:H204,"Loss")),0)</x:f>
        <x:v>1</x:v>
      </x:c>
      <x:c r="D12" s="80" t="str">
        <x:v>Aug</x:v>
      </x:c>
      <x:c r="E12" s="81" t="n">
        <x:f>SUMIFS('Bet Log'!$J$5:$J$204,'Bet Log'!$A$5:$A$204,"&gt;="&amp;DATE(YEAR(TODAY()),8,1),'Bet Log'!$A$5:$A$204,"&lt;"&amp;DATE(YEAR(TODAY()),9,1))</x:f>
        <x:v>0</x:v>
      </x:c>
    </x:row>
    <x:row r="13">
      <x:c r="D13" s="80" t="str">
        <x:v>Sep</x:v>
      </x:c>
      <x:c r="E13" s="81" t="n">
        <x:f>SUMIFS('Bet Log'!$J$5:$J$204,'Bet Log'!$A$5:$A$204,"&gt;="&amp;DATE(YEAR(TODAY()),9,1),'Bet Log'!$A$5:$A$204,"&lt;"&amp;DATE(YEAR(TODAY()),10,1))</x:f>
        <x:v>0</x:v>
      </x:c>
    </x:row>
    <x:row r="14">
      <x:c r="D14" s="80" t="str">
        <x:v>Oct</x:v>
      </x:c>
      <x:c r="E14" s="81" t="n">
        <x:f>SUMIFS('Bet Log'!$J$5:$J$204,'Bet Log'!$A$5:$A$204,"&gt;="&amp;DATE(YEAR(TODAY()),10,1),'Bet Log'!$A$5:$A$204,"&lt;"&amp;DATE(YEAR(TODAY()),11,1))</x:f>
        <x:v>0</x:v>
      </x:c>
    </x:row>
    <x:row r="15">
      <x:c r="D15" s="80" t="str">
        <x:v>Nov</x:v>
      </x:c>
      <x:c r="E15" s="81" t="n">
        <x:f>SUMIFS('Bet Log'!$J$5:$J$204,'Bet Log'!$A$5:$A$204,"&gt;="&amp;DATE(YEAR(TODAY()),11,1),'Bet Log'!$A$5:$A$204,"&lt;"&amp;DATE(YEAR(TODAY()),12,1))</x:f>
        <x:v>0</x:v>
      </x:c>
    </x:row>
    <x:row r="16">
      <x:c r="D16" s="80" t="str">
        <x:v>Dec</x:v>
      </x:c>
      <x:c r="E16" s="81" t="n">
        <x:f>SUMIFS('Bet Log'!$J$5:$J$204,'Bet Log'!$A$5:$A$204,"&gt;="&amp;DATE(YEAR(TODAY()),12,1),'Bet Log'!$A$5:$A$204,"&lt;"&amp;DATE(YEAR(TODAY()),13,1))</x:f>
        <x:v>0</x:v>
      </x:c>
    </x:row>
    <x:row r="20">
      <x:c r="A20" s="63" t="str">
        <x:v>HOW TO USE</x:v>
      </x:c>
    </x:row>
    <x:row r="21">
      <x:c r="A21" s="84" t="str">
        <x:v>1. Edit Starting Bankroll above.
2. Add each wager in Bet Log.
3. Enter Result only when settled (Win, Loss, or Pending).
4. Profit, ROI, record, and monthly chart update automatically.</x:v>
      </x:c>
      <x:c r="B21" s="85"/>
      <x:c r="C21" s="85"/>
      <x:c r="D21" s="85"/>
      <x:c r="E21" s="85"/>
      <x:c r="F21" s="68"/>
    </x:row>
    <x:row r="22">
      <x:c r="A22" s="86"/>
      <x:c r="B22" s="87"/>
      <x:c r="C22" s="87"/>
      <x:c r="D22" s="87"/>
      <x:c r="E22" s="87"/>
      <x:c r="F22" s="88"/>
    </x:row>
    <x:row r="23">
      <x:c r="A23" s="86"/>
      <x:c r="B23" s="87"/>
      <x:c r="C23" s="87"/>
      <x:c r="D23" s="87"/>
      <x:c r="E23" s="87"/>
      <x:c r="F23" s="88"/>
    </x:row>
    <x:row r="24">
      <x:c r="A24" s="69"/>
      <x:c r="B24" s="89"/>
      <x:c r="C24" s="89"/>
      <x:c r="D24" s="89"/>
      <x:c r="E24" s="89"/>
      <x:c r="F24" s="90"/>
    </x:row>
  </x:sheetData>
  <x:mergeCells>
    <x:mergeCell ref="A1:H1"/>
    <x:mergeCell ref="A2:H2"/>
    <x:mergeCell ref="A4:B4"/>
    <x:mergeCell ref="A20:F20"/>
    <x:mergeCell ref="A21:F24"/>
  </x:mergeCells>
  <x:conditionalFormatting sqref="B7:B7">
    <x:cfRule type="cellIs" dxfId="4" priority="1" operator="greaterThan">
      <x:formula>0</x:formula>
    </x:cfRule>
    <x:cfRule type="cellIs" dxfId="5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f6c07b8bd3c424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3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6" hidden="0" customWidth="1"/>
    <x:col min="14" max="14" width="13" hidden="0" customWidth="1"/>
  </x:cols>
  <x:sheetData>
    <x:row r="1" ht="30" customHeight="1">
      <x:c r="A1" s="5" t="str">
        <x:v>SPORTS BETTING BET LOG</x:v>
      </x:c>
    </x:row>
    <x:row r="2">
      <x:c r="A2" s="8" t="str">
        <x:v>Enter one wager per row. Use American odds (e.g., -110 or +150); profit and bankroll update automatically.</x:v>
      </x:c>
    </x:row>
    <x:row r="4" ht="28" customHeight="1">
      <x:c r="A4" s="32" t="str">
        <x:v>Date</x:v>
      </x:c>
      <x:c r="B4" s="33" t="str">
        <x:v>Sport</x:v>
      </x:c>
      <x:c r="C4" s="33" t="str">
        <x:v>Sportsbook</x:v>
      </x:c>
      <x:c r="D4" s="33" t="str">
        <x:v>Bet / Selection</x:v>
      </x:c>
      <x:c r="E4" s="33" t="str">
        <x:v>Bet Type</x:v>
      </x:c>
      <x:c r="F4" s="33" t="str">
        <x:v>Odds</x:v>
      </x:c>
      <x:c r="G4" s="33" t="str">
        <x:v>Stake</x:v>
      </x:c>
      <x:c r="H4" s="33" t="str">
        <x:v>Result</x:v>
      </x:c>
      <x:c r="I4" s="33" t="str">
        <x:v>To Win</x:v>
      </x:c>
      <x:c r="J4" s="33" t="str">
        <x:v>Profit / Loss</x:v>
      </x:c>
      <x:c r="K4" s="33" t="str">
        <x:v>Bankroll</x:v>
      </x:c>
      <x:c r="L4" s="33" t="str">
        <x:v>ROI</x:v>
      </x:c>
      <x:c r="M4" s="33" t="str">
        <x:v>Notes</x:v>
      </x:c>
      <x:c r="N4" s="34" t="str">
        <x:v>Month</x:v>
      </x:c>
    </x:row>
    <x:row r="5">
      <x:c r="A5" s="47" t="n">
        <x:v>46226.791666666664</x:v>
      </x:c>
      <x:c r="B5" s="49" t="str">
        <x:v>MLB</x:v>
      </x:c>
      <x:c r="C5" s="49" t="str">
        <x:v>PrizePicks</x:v>
      </x:c>
      <x:c r="D5" s="36" t="str">
        <x:v>Troy Melton under 6.5 Ks + Randy Dobnak over 2.5 Ks</x:v>
      </x:c>
      <x:c r="E5" s="49" t="str">
        <x:v>Parlay</x:v>
      </x:c>
      <x:c r="F5" s="51" t="n">
        <x:v>200</x:v>
      </x:c>
      <x:c r="G5" s="53" t="n">
        <x:v>1</x:v>
      </x:c>
      <x:c r="H5" s="53" t="str">
        <x:v>Win</x:v>
      </x:c>
      <x:c r="I5" s="53" t="n">
        <x:f>IF(OR(F5="",G5=""),"",IF(F5&gt;0,G5*F5/100,G5*100/ABS(F5)))</x:f>
        <x:v>2</x:v>
      </x:c>
      <x:c r="J5" s="53" t="n">
        <x:f>IF(H5="","",IF(H5="Win",I5,IF(H5="Loss",-G5,0)))</x:f>
        <x:v>2</x:v>
      </x:c>
      <x:c r="K5" s="53" t="n">
        <x:f>IF(COUNTA(A$5:A5)=0,"",Dashboard!$B$5+SUM(J$5:J5))</x:f>
        <x:v>18</x:v>
      </x:c>
      <x:c r="L5" s="55" t="n">
        <x:f>IFERROR(J5/G5,"")</x:f>
        <x:v>2</x:v>
      </x:c>
      <x:c r="M5" s="36"/>
      <x:c r="N5" s="57" t="str">
        <x:f>IF(A5="","",TEXT(A5,"mmm yyyy"))</x:f>
        <x:v>Jul 2026</x:v>
      </x:c>
    </x:row>
    <x:row r="6">
      <x:c r="A6" s="47" t="n">
        <x:v>46226.791666666664</x:v>
      </x:c>
      <x:c r="B6" s="49" t="str">
        <x:v>MLB</x:v>
      </x:c>
      <x:c r="C6" s="49" t="str">
        <x:v>PrizePicks</x:v>
      </x:c>
      <x:c r="D6" s="36" t="str">
        <x:v>Dobnak + Melton under 0.5 1st inning runs + Riley Greene over 0.5 H+R+RBI</x:v>
      </x:c>
      <x:c r="E6" s="49" t="str">
        <x:v>Parlay</x:v>
      </x:c>
      <x:c r="F6" s="51" t="n">
        <x:v>110</x:v>
      </x:c>
      <x:c r="G6" s="53" t="n">
        <x:v>1</x:v>
      </x:c>
      <x:c r="H6" s="53" t="str">
        <x:v>Win</x:v>
      </x:c>
      <x:c r="I6" s="53" t="n">
        <x:f>IF(OR(F6="",G6=""),"",IF(F6&gt;0,G6*F6/100,G6*100/ABS(F6)))</x:f>
        <x:v>1.1</x:v>
      </x:c>
      <x:c r="J6" s="53" t="n">
        <x:f>IF(H6="","",IF(H6="Win",I6,IF(H6="Loss",-G6,0)))</x:f>
        <x:v>1.1</x:v>
      </x:c>
      <x:c r="K6" s="53" t="n">
        <x:f>IF(COUNTA(A$5:A6)=0,"",Dashboard!$B$5+SUM(J$5:J6))</x:f>
        <x:v>19.1</x:v>
      </x:c>
      <x:c r="L6" s="55" t="n">
        <x:f>IFERROR(J6/G6,"")</x:f>
        <x:v>1.1</x:v>
      </x:c>
      <x:c r="M6" s="36"/>
      <x:c r="N6" s="57" t="str">
        <x:f>IF(A6="","",TEXT(A6,"mmm yyyy"))</x:f>
        <x:v>Jul 2026</x:v>
      </x:c>
    </x:row>
    <x:row r="7">
      <x:c r="A7" s="47" t="n">
        <x:v>46226.791666666664</x:v>
      </x:c>
      <x:c r="B7" s="49" t="str">
        <x:v>MLB</x:v>
      </x:c>
      <x:c r="C7" s="49" t="str">
        <x:v>PrizePicks</x:v>
      </x:c>
      <x:c r="D7" s="36" t="str">
        <x:v>George Springer over 0.5 hits + Kerry Carpenter under 1.5 H+R+RBI</x:v>
      </x:c>
      <x:c r="E7" s="49" t="str">
        <x:v>Parlay</x:v>
      </x:c>
      <x:c r="F7" s="51" t="n">
        <x:v>160</x:v>
      </x:c>
      <x:c r="G7" s="53" t="n">
        <x:v>1</x:v>
      </x:c>
      <x:c r="H7" s="53" t="str">
        <x:v>Win</x:v>
      </x:c>
      <x:c r="I7" s="53" t="n">
        <x:f>IF(OR(F7="",G7=""),"",IF(F7&gt;0,G7*F7/100,G7*100/ABS(F7)))</x:f>
        <x:v>1.6</x:v>
      </x:c>
      <x:c r="J7" s="53" t="n">
        <x:f>IF(H7="","",IF(H7="Win",I7,IF(H7="Loss",-G7,0)))</x:f>
        <x:v>1.6</x:v>
      </x:c>
      <x:c r="K7" s="53" t="n">
        <x:f>IF(COUNTA(A$5:A7)=0,"",Dashboard!$B$5+SUM(J$5:J7))</x:f>
        <x:v>20.7</x:v>
      </x:c>
      <x:c r="L7" s="55" t="n">
        <x:f>IFERROR(J7/G7,"")</x:f>
        <x:v>1.6</x:v>
      </x:c>
      <x:c r="M7" s="36"/>
      <x:c r="N7" s="57" t="str">
        <x:f>IF(A7="","",TEXT(A7,"mmm yyyy"))</x:f>
        <x:v>Jul 2026</x:v>
      </x:c>
    </x:row>
    <x:row r="8">
      <x:c r="A8" s="47"/>
      <x:c r="B8" s="49"/>
      <x:c r="C8" s="49"/>
      <x:c r="D8" s="36"/>
      <x:c r="E8" s="49"/>
      <x:c r="F8" s="51"/>
      <x:c r="G8" s="53"/>
      <x:c r="H8" s="53"/>
      <x:c r="I8" s="53" t="str">
        <x:f>IF(OR(F8="",G8=""),"",IF(F8&gt;0,G8*F8/100,G8*100/ABS(F8)))</x:f>
      </x:c>
      <x:c r="J8" s="53" t="str">
        <x:f>IF(H8="","",IF(H8="Win",I8,IF(H8="Loss",-G8,0)))</x:f>
      </x:c>
      <x:c r="K8" s="53" t="n">
        <x:f>IF(COUNTA(A$5:A8)=0,"",Dashboard!$B$5+SUM(J$5:J8))</x:f>
        <x:v>20.7</x:v>
      </x:c>
      <x:c r="L8" s="55" t="str">
        <x:f>IFERROR(J8/G8,"")</x:f>
      </x:c>
      <x:c r="M8" s="36"/>
      <x:c r="N8" s="57" t="str">
        <x:f>IF(A8="","",TEXT(A8,"mmm yyyy"))</x:f>
      </x:c>
    </x:row>
    <x:row r="9">
      <x:c r="A9" s="47"/>
      <x:c r="B9" s="49"/>
      <x:c r="C9" s="49"/>
      <x:c r="D9" s="36"/>
      <x:c r="E9" s="49"/>
      <x:c r="F9" s="51"/>
      <x:c r="G9" s="53"/>
      <x:c r="H9" s="53"/>
      <x:c r="I9" s="53" t="str">
        <x:f>IF(OR(F9="",G9=""),"",IF(F9&gt;0,G9*F9/100,G9*100/ABS(F9)))</x:f>
      </x:c>
      <x:c r="J9" s="53" t="str">
        <x:f>IF(H9="","",IF(H9="Win",I9,IF(H9="Loss",-G9,0)))</x:f>
      </x:c>
      <x:c r="K9" s="53" t="n">
        <x:f>IF(COUNTA(A$5:A9)=0,"",Dashboard!$B$5+SUM(J$5:J9))</x:f>
        <x:v>20.7</x:v>
      </x:c>
      <x:c r="L9" s="55" t="str">
        <x:f>IFERROR(J9/G9,"")</x:f>
      </x:c>
      <x:c r="M9" s="36"/>
      <x:c r="N9" s="57" t="str">
        <x:f>IF(A9="","",TEXT(A9,"mmm yyyy"))</x:f>
      </x:c>
    </x:row>
    <x:row r="10">
      <x:c r="A10" s="47"/>
      <x:c r="B10" s="49"/>
      <x:c r="C10" s="49"/>
      <x:c r="D10" s="36"/>
      <x:c r="E10" s="49"/>
      <x:c r="F10" s="51"/>
      <x:c r="G10" s="53"/>
      <x:c r="H10" s="53"/>
      <x:c r="I10" s="53" t="str">
        <x:f>IF(OR(F10="",G10=""),"",IF(F10&gt;0,G10*F10/100,G10*100/ABS(F10)))</x:f>
      </x:c>
      <x:c r="J10" s="53" t="str">
        <x:f>IF(H10="","",IF(H10="Win",I10,IF(H10="Loss",-G10,0)))</x:f>
      </x:c>
      <x:c r="K10" s="53" t="n">
        <x:f>IF(COUNTA(A$5:A10)=0,"",Dashboard!$B$5+SUM(J$5:J10))</x:f>
        <x:v>20.7</x:v>
      </x:c>
      <x:c r="L10" s="55" t="str">
        <x:f>IFERROR(J10/G10,"")</x:f>
      </x:c>
      <x:c r="M10" s="36"/>
      <x:c r="N10" s="57" t="str">
        <x:f>IF(A10="","",TEXT(A10,"mmm yyyy"))</x:f>
      </x:c>
    </x:row>
    <x:row r="11">
      <x:c r="A11" s="47"/>
      <x:c r="B11" s="49"/>
      <x:c r="C11" s="49"/>
      <x:c r="D11" s="36"/>
      <x:c r="E11" s="49"/>
      <x:c r="F11" s="51"/>
      <x:c r="G11" s="53"/>
      <x:c r="H11" s="53"/>
      <x:c r="I11" s="53" t="str">
        <x:f>IF(OR(F11="",G11=""),"",IF(F11&gt;0,G11*F11/100,G11*100/ABS(F11)))</x:f>
      </x:c>
      <x:c r="J11" s="53" t="str">
        <x:f>IF(H11="","",IF(H11="Win",I11,IF(H11="Loss",-G11,0)))</x:f>
      </x:c>
      <x:c r="K11" s="53" t="n">
        <x:f>IF(COUNTA(A$5:A11)=0,"",Dashboard!$B$5+SUM(J$5:J11))</x:f>
        <x:v>20.7</x:v>
      </x:c>
      <x:c r="L11" s="55" t="str">
        <x:f>IFERROR(J11/G11,"")</x:f>
      </x:c>
      <x:c r="M11" s="36"/>
      <x:c r="N11" s="57" t="str">
        <x:f>IF(A11="","",TEXT(A11,"mmm yyyy"))</x:f>
      </x:c>
    </x:row>
    <x:row r="12">
      <x:c r="A12" s="47"/>
      <x:c r="B12" s="49"/>
      <x:c r="C12" s="49"/>
      <x:c r="D12" s="36"/>
      <x:c r="E12" s="49"/>
      <x:c r="F12" s="51"/>
      <x:c r="G12" s="53"/>
      <x:c r="H12" s="53"/>
      <x:c r="I12" s="53" t="str">
        <x:f>IF(OR(F12="",G12=""),"",IF(F12&gt;0,G12*F12/100,G12*100/ABS(F12)))</x:f>
      </x:c>
      <x:c r="J12" s="53" t="str">
        <x:f>IF(H12="","",IF(H12="Win",I12,IF(H12="Loss",-G12,0)))</x:f>
      </x:c>
      <x:c r="K12" s="53" t="n">
        <x:f>IF(COUNTA(A$5:A12)=0,"",Dashboard!$B$5+SUM(J$5:J12))</x:f>
        <x:v>20.7</x:v>
      </x:c>
      <x:c r="L12" s="55" t="str">
        <x:f>IFERROR(J12/G12,"")</x:f>
      </x:c>
      <x:c r="M12" s="36"/>
      <x:c r="N12" s="57" t="str">
        <x:f>IF(A12="","",TEXT(A12,"mmm yyyy"))</x:f>
      </x:c>
    </x:row>
    <x:row r="13">
      <x:c r="A13" s="47"/>
      <x:c r="B13" s="49"/>
      <x:c r="C13" s="49"/>
      <x:c r="D13" s="36"/>
      <x:c r="E13" s="49"/>
      <x:c r="F13" s="51"/>
      <x:c r="G13" s="53"/>
      <x:c r="H13" s="53"/>
      <x:c r="I13" s="53" t="str">
        <x:f>IF(OR(F13="",G13=""),"",IF(F13&gt;0,G13*F13/100,G13*100/ABS(F13)))</x:f>
      </x:c>
      <x:c r="J13" s="53" t="str">
        <x:f>IF(H13="","",IF(H13="Win",I13,IF(H13="Loss",-G13,0)))</x:f>
      </x:c>
      <x:c r="K13" s="53" t="n">
        <x:f>IF(COUNTA(A$5:A13)=0,"",Dashboard!$B$5+SUM(J$5:J13))</x:f>
        <x:v>20.7</x:v>
      </x:c>
      <x:c r="L13" s="55" t="str">
        <x:f>IFERROR(J13/G13,"")</x:f>
      </x:c>
      <x:c r="M13" s="36"/>
      <x:c r="N13" s="57" t="str">
        <x:f>IF(A13="","",TEXT(A13,"mmm yyyy"))</x:f>
      </x:c>
    </x:row>
    <x:row r="14">
      <x:c r="A14" s="47"/>
      <x:c r="B14" s="49"/>
      <x:c r="C14" s="49"/>
      <x:c r="D14" s="36"/>
      <x:c r="E14" s="49"/>
      <x:c r="F14" s="51"/>
      <x:c r="G14" s="53"/>
      <x:c r="H14" s="53"/>
      <x:c r="I14" s="53" t="str">
        <x:f>IF(OR(F14="",G14=""),"",IF(F14&gt;0,G14*F14/100,G14*100/ABS(F14)))</x:f>
      </x:c>
      <x:c r="J14" s="53" t="str">
        <x:f>IF(H14="","",IF(H14="Win",I14,IF(H14="Loss",-G14,0)))</x:f>
      </x:c>
      <x:c r="K14" s="53" t="n">
        <x:f>IF(COUNTA(A$5:A14)=0,"",Dashboard!$B$5+SUM(J$5:J14))</x:f>
        <x:v>20.7</x:v>
      </x:c>
      <x:c r="L14" s="55" t="str">
        <x:f>IFERROR(J14/G14,"")</x:f>
      </x:c>
      <x:c r="M14" s="36"/>
      <x:c r="N14" s="57" t="str">
        <x:f>IF(A14="","",TEXT(A14,"mmm yyyy"))</x:f>
      </x:c>
    </x:row>
    <x:row r="15">
      <x:c r="A15" s="47"/>
      <x:c r="B15" s="49"/>
      <x:c r="C15" s="49"/>
      <x:c r="D15" s="36"/>
      <x:c r="E15" s="49"/>
      <x:c r="F15" s="51"/>
      <x:c r="G15" s="53"/>
      <x:c r="H15" s="53"/>
      <x:c r="I15" s="53" t="str">
        <x:f>IF(OR(F15="",G15=""),"",IF(F15&gt;0,G15*F15/100,G15*100/ABS(F15)))</x:f>
      </x:c>
      <x:c r="J15" s="53" t="str">
        <x:f>IF(H15="","",IF(H15="Win",I15,IF(H15="Loss",-G15,0)))</x:f>
      </x:c>
      <x:c r="K15" s="53" t="n">
        <x:f>IF(COUNTA(A$5:A15)=0,"",Dashboard!$B$5+SUM(J$5:J15))</x:f>
        <x:v>20.7</x:v>
      </x:c>
      <x:c r="L15" s="55" t="str">
        <x:f>IFERROR(J15/G15,"")</x:f>
      </x:c>
      <x:c r="M15" s="36"/>
      <x:c r="N15" s="57" t="str">
        <x:f>IF(A15="","",TEXT(A15,"mmm yyyy"))</x:f>
      </x:c>
    </x:row>
    <x:row r="16">
      <x:c r="A16" s="47"/>
      <x:c r="B16" s="49"/>
      <x:c r="C16" s="49"/>
      <x:c r="D16" s="36"/>
      <x:c r="E16" s="49"/>
      <x:c r="F16" s="51"/>
      <x:c r="G16" s="53"/>
      <x:c r="H16" s="53"/>
      <x:c r="I16" s="53" t="str">
        <x:f>IF(OR(F16="",G16=""),"",IF(F16&gt;0,G16*F16/100,G16*100/ABS(F16)))</x:f>
      </x:c>
      <x:c r="J16" s="53" t="str">
        <x:f>IF(H16="","",IF(H16="Win",I16,IF(H16="Loss",-G16,0)))</x:f>
      </x:c>
      <x:c r="K16" s="53" t="n">
        <x:f>IF(COUNTA(A$5:A16)=0,"",Dashboard!$B$5+SUM(J$5:J16))</x:f>
        <x:v>20.7</x:v>
      </x:c>
      <x:c r="L16" s="55" t="str">
        <x:f>IFERROR(J16/G16,"")</x:f>
      </x:c>
      <x:c r="M16" s="36"/>
      <x:c r="N16" s="57" t="str">
        <x:f>IF(A16="","",TEXT(A16,"mmm yyyy"))</x:f>
      </x:c>
    </x:row>
    <x:row r="17">
      <x:c r="A17" s="47"/>
      <x:c r="B17" s="49"/>
      <x:c r="C17" s="49"/>
      <x:c r="D17" s="36"/>
      <x:c r="E17" s="49"/>
      <x:c r="F17" s="51"/>
      <x:c r="G17" s="53"/>
      <x:c r="H17" s="53"/>
      <x:c r="I17" s="53" t="str">
        <x:f>IF(OR(F17="",G17=""),"",IF(F17&gt;0,G17*F17/100,G17*100/ABS(F17)))</x:f>
      </x:c>
      <x:c r="J17" s="53" t="str">
        <x:f>IF(H17="","",IF(H17="Win",I17,IF(H17="Loss",-G17,0)))</x:f>
      </x:c>
      <x:c r="K17" s="53" t="n">
        <x:f>IF(COUNTA(A$5:A17)=0,"",Dashboard!$B$5+SUM(J$5:J17))</x:f>
        <x:v>20.7</x:v>
      </x:c>
      <x:c r="L17" s="55" t="str">
        <x:f>IFERROR(J17/G17,"")</x:f>
      </x:c>
      <x:c r="M17" s="36"/>
      <x:c r="N17" s="57" t="str">
        <x:f>IF(A17="","",TEXT(A17,"mmm yyyy"))</x:f>
      </x:c>
    </x:row>
    <x:row r="18">
      <x:c r="A18" s="47"/>
      <x:c r="B18" s="49"/>
      <x:c r="C18" s="49"/>
      <x:c r="D18" s="36"/>
      <x:c r="E18" s="49"/>
      <x:c r="F18" s="51"/>
      <x:c r="G18" s="53"/>
      <x:c r="H18" s="53"/>
      <x:c r="I18" s="53" t="str">
        <x:f>IF(OR(F18="",G18=""),"",IF(F18&gt;0,G18*F18/100,G18*100/ABS(F18)))</x:f>
      </x:c>
      <x:c r="J18" s="53" t="str">
        <x:f>IF(H18="","",IF(H18="Win",I18,IF(H18="Loss",-G18,0)))</x:f>
      </x:c>
      <x:c r="K18" s="53" t="n">
        <x:f>IF(COUNTA(A$5:A18)=0,"",Dashboard!$B$5+SUM(J$5:J18))</x:f>
        <x:v>20.7</x:v>
      </x:c>
      <x:c r="L18" s="55" t="str">
        <x:f>IFERROR(J18/G18,"")</x:f>
      </x:c>
      <x:c r="M18" s="36"/>
      <x:c r="N18" s="57" t="str">
        <x:f>IF(A18="","",TEXT(A18,"mmm yyyy"))</x:f>
      </x:c>
    </x:row>
    <x:row r="19">
      <x:c r="A19" s="47"/>
      <x:c r="B19" s="49"/>
      <x:c r="C19" s="49"/>
      <x:c r="D19" s="36"/>
      <x:c r="E19" s="49"/>
      <x:c r="F19" s="51"/>
      <x:c r="G19" s="53"/>
      <x:c r="H19" s="53"/>
      <x:c r="I19" s="53" t="str">
        <x:f>IF(OR(F19="",G19=""),"",IF(F19&gt;0,G19*F19/100,G19*100/ABS(F19)))</x:f>
      </x:c>
      <x:c r="J19" s="53" t="str">
        <x:f>IF(H19="","",IF(H19="Win",I19,IF(H19="Loss",-G19,0)))</x:f>
      </x:c>
      <x:c r="K19" s="53" t="n">
        <x:f>IF(COUNTA(A$5:A19)=0,"",Dashboard!$B$5+SUM(J$5:J19))</x:f>
        <x:v>20.7</x:v>
      </x:c>
      <x:c r="L19" s="55" t="str">
        <x:f>IFERROR(J19/G19,"")</x:f>
      </x:c>
      <x:c r="M19" s="36"/>
      <x:c r="N19" s="57" t="str">
        <x:f>IF(A19="","",TEXT(A19,"mmm yyyy"))</x:f>
      </x:c>
    </x:row>
    <x:row r="20">
      <x:c r="A20" s="47"/>
      <x:c r="B20" s="49"/>
      <x:c r="C20" s="49"/>
      <x:c r="D20" s="36"/>
      <x:c r="E20" s="49"/>
      <x:c r="F20" s="51"/>
      <x:c r="G20" s="53"/>
      <x:c r="H20" s="53"/>
      <x:c r="I20" s="53" t="str">
        <x:f>IF(OR(F20="",G20=""),"",IF(F20&gt;0,G20*F20/100,G20*100/ABS(F20)))</x:f>
      </x:c>
      <x:c r="J20" s="53" t="str">
        <x:f>IF(H20="","",IF(H20="Win",I20,IF(H20="Loss",-G20,0)))</x:f>
      </x:c>
      <x:c r="K20" s="53" t="n">
        <x:f>IF(COUNTA(A$5:A20)=0,"",Dashboard!$B$5+SUM(J$5:J20))</x:f>
        <x:v>20.7</x:v>
      </x:c>
      <x:c r="L20" s="55" t="str">
        <x:f>IFERROR(J20/G20,"")</x:f>
      </x:c>
      <x:c r="M20" s="36"/>
      <x:c r="N20" s="57" t="str">
        <x:f>IF(A20="","",TEXT(A20,"mmm yyyy"))</x:f>
      </x:c>
    </x:row>
    <x:row r="21">
      <x:c r="A21" s="47"/>
      <x:c r="B21" s="49"/>
      <x:c r="C21" s="49"/>
      <x:c r="D21" s="36"/>
      <x:c r="E21" s="49"/>
      <x:c r="F21" s="51"/>
      <x:c r="G21" s="53"/>
      <x:c r="H21" s="53"/>
      <x:c r="I21" s="53" t="str">
        <x:f>IF(OR(F21="",G21=""),"",IF(F21&gt;0,G21*F21/100,G21*100/ABS(F21)))</x:f>
      </x:c>
      <x:c r="J21" s="53" t="str">
        <x:f>IF(H21="","",IF(H21="Win",I21,IF(H21="Loss",-G21,0)))</x:f>
      </x:c>
      <x:c r="K21" s="53" t="n">
        <x:f>IF(COUNTA(A$5:A21)=0,"",Dashboard!$B$5+SUM(J$5:J21))</x:f>
        <x:v>20.7</x:v>
      </x:c>
      <x:c r="L21" s="55" t="str">
        <x:f>IFERROR(J21/G21,"")</x:f>
      </x:c>
      <x:c r="M21" s="36"/>
      <x:c r="N21" s="57" t="str">
        <x:f>IF(A21="","",TEXT(A21,"mmm yyyy"))</x:f>
      </x:c>
    </x:row>
    <x:row r="22">
      <x:c r="A22" s="47"/>
      <x:c r="B22" s="49"/>
      <x:c r="C22" s="49"/>
      <x:c r="D22" s="36"/>
      <x:c r="E22" s="49"/>
      <x:c r="F22" s="51"/>
      <x:c r="G22" s="53"/>
      <x:c r="H22" s="53"/>
      <x:c r="I22" s="53" t="str">
        <x:f>IF(OR(F22="",G22=""),"",IF(F22&gt;0,G22*F22/100,G22*100/ABS(F22)))</x:f>
      </x:c>
      <x:c r="J22" s="53" t="str">
        <x:f>IF(H22="","",IF(H22="Win",I22,IF(H22="Loss",-G22,0)))</x:f>
      </x:c>
      <x:c r="K22" s="53" t="n">
        <x:f>IF(COUNTA(A$5:A22)=0,"",Dashboard!$B$5+SUM(J$5:J22))</x:f>
        <x:v>20.7</x:v>
      </x:c>
      <x:c r="L22" s="55" t="str">
        <x:f>IFERROR(J22/G22,"")</x:f>
      </x:c>
      <x:c r="M22" s="36"/>
      <x:c r="N22" s="57" t="str">
        <x:f>IF(A22="","",TEXT(A22,"mmm yyyy"))</x:f>
      </x:c>
    </x:row>
    <x:row r="23">
      <x:c r="A23" s="47"/>
      <x:c r="B23" s="49"/>
      <x:c r="C23" s="49"/>
      <x:c r="D23" s="36"/>
      <x:c r="E23" s="49"/>
      <x:c r="F23" s="51"/>
      <x:c r="G23" s="53"/>
      <x:c r="H23" s="53"/>
      <x:c r="I23" s="53" t="str">
        <x:f>IF(OR(F23="",G23=""),"",IF(F23&gt;0,G23*F23/100,G23*100/ABS(F23)))</x:f>
      </x:c>
      <x:c r="J23" s="53" t="str">
        <x:f>IF(H23="","",IF(H23="Win",I23,IF(H23="Loss",-G23,0)))</x:f>
      </x:c>
      <x:c r="K23" s="53" t="n">
        <x:f>IF(COUNTA(A$5:A23)=0,"",Dashboard!$B$5+SUM(J$5:J23))</x:f>
        <x:v>20.7</x:v>
      </x:c>
      <x:c r="L23" s="55" t="str">
        <x:f>IFERROR(J23/G23,"")</x:f>
      </x:c>
      <x:c r="M23" s="36"/>
      <x:c r="N23" s="57" t="str">
        <x:f>IF(A23="","",TEXT(A23,"mmm yyyy"))</x:f>
      </x:c>
    </x:row>
    <x:row r="24">
      <x:c r="A24" s="47"/>
      <x:c r="B24" s="49"/>
      <x:c r="C24" s="49"/>
      <x:c r="D24" s="36"/>
      <x:c r="E24" s="49"/>
      <x:c r="F24" s="51"/>
      <x:c r="G24" s="53"/>
      <x:c r="H24" s="53"/>
      <x:c r="I24" s="53" t="str">
        <x:f>IF(OR(F24="",G24=""),"",IF(F24&gt;0,G24*F24/100,G24*100/ABS(F24)))</x:f>
      </x:c>
      <x:c r="J24" s="53" t="str">
        <x:f>IF(H24="","",IF(H24="Win",I24,IF(H24="Loss",-G24,0)))</x:f>
      </x:c>
      <x:c r="K24" s="53" t="n">
        <x:f>IF(COUNTA(A$5:A24)=0,"",Dashboard!$B$5+SUM(J$5:J24))</x:f>
        <x:v>20.7</x:v>
      </x:c>
      <x:c r="L24" s="55" t="str">
        <x:f>IFERROR(J24/G24,"")</x:f>
      </x:c>
      <x:c r="M24" s="36"/>
      <x:c r="N24" s="57" t="str">
        <x:f>IF(A24="","",TEXT(A24,"mmm yyyy"))</x:f>
      </x:c>
    </x:row>
    <x:row r="25">
      <x:c r="A25" s="47"/>
      <x:c r="B25" s="49"/>
      <x:c r="C25" s="49"/>
      <x:c r="D25" s="36"/>
      <x:c r="E25" s="49"/>
      <x:c r="F25" s="51"/>
      <x:c r="G25" s="53"/>
      <x:c r="H25" s="53"/>
      <x:c r="I25" s="53" t="str">
        <x:f>IF(OR(F25="",G25=""),"",IF(F25&gt;0,G25*F25/100,G25*100/ABS(F25)))</x:f>
      </x:c>
      <x:c r="J25" s="53" t="str">
        <x:f>IF(H25="","",IF(H25="Win",I25,IF(H25="Loss",-G25,0)))</x:f>
      </x:c>
      <x:c r="K25" s="53" t="n">
        <x:f>IF(COUNTA(A$5:A25)=0,"",Dashboard!$B$5+SUM(J$5:J25))</x:f>
        <x:v>20.7</x:v>
      </x:c>
      <x:c r="L25" s="55" t="str">
        <x:f>IFERROR(J25/G25,"")</x:f>
      </x:c>
      <x:c r="M25" s="36"/>
      <x:c r="N25" s="57" t="str">
        <x:f>IF(A25="","",TEXT(A25,"mmm yyyy"))</x:f>
      </x:c>
    </x:row>
    <x:row r="26">
      <x:c r="A26" s="47"/>
      <x:c r="B26" s="49"/>
      <x:c r="C26" s="49"/>
      <x:c r="D26" s="36"/>
      <x:c r="E26" s="49"/>
      <x:c r="F26" s="51"/>
      <x:c r="G26" s="53"/>
      <x:c r="H26" s="53"/>
      <x:c r="I26" s="53" t="str">
        <x:f>IF(OR(F26="",G26=""),"",IF(F26&gt;0,G26*F26/100,G26*100/ABS(F26)))</x:f>
      </x:c>
      <x:c r="J26" s="53" t="str">
        <x:f>IF(H26="","",IF(H26="Win",I26,IF(H26="Loss",-G26,0)))</x:f>
      </x:c>
      <x:c r="K26" s="53" t="n">
        <x:f>IF(COUNTA(A$5:A26)=0,"",Dashboard!$B$5+SUM(J$5:J26))</x:f>
        <x:v>20.7</x:v>
      </x:c>
      <x:c r="L26" s="55" t="str">
        <x:f>IFERROR(J26/G26,"")</x:f>
      </x:c>
      <x:c r="M26" s="36"/>
      <x:c r="N26" s="57" t="str">
        <x:f>IF(A26="","",TEXT(A26,"mmm yyyy"))</x:f>
      </x:c>
    </x:row>
    <x:row r="27">
      <x:c r="A27" s="47"/>
      <x:c r="B27" s="49"/>
      <x:c r="C27" s="49"/>
      <x:c r="D27" s="36"/>
      <x:c r="E27" s="49"/>
      <x:c r="F27" s="51"/>
      <x:c r="G27" s="53"/>
      <x:c r="H27" s="53"/>
      <x:c r="I27" s="53" t="str">
        <x:f>IF(OR(F27="",G27=""),"",IF(F27&gt;0,G27*F27/100,G27*100/ABS(F27)))</x:f>
      </x:c>
      <x:c r="J27" s="53" t="str">
        <x:f>IF(H27="","",IF(H27="Win",I27,IF(H27="Loss",-G27,0)))</x:f>
      </x:c>
      <x:c r="K27" s="53" t="n">
        <x:f>IF(COUNTA(A$5:A27)=0,"",Dashboard!$B$5+SUM(J$5:J27))</x:f>
        <x:v>20.7</x:v>
      </x:c>
      <x:c r="L27" s="55" t="str">
        <x:f>IFERROR(J27/G27,"")</x:f>
      </x:c>
      <x:c r="M27" s="36"/>
      <x:c r="N27" s="57" t="str">
        <x:f>IF(A27="","",TEXT(A27,"mmm yyyy"))</x:f>
      </x:c>
    </x:row>
    <x:row r="28">
      <x:c r="A28" s="47"/>
      <x:c r="B28" s="49"/>
      <x:c r="C28" s="49"/>
      <x:c r="D28" s="36"/>
      <x:c r="E28" s="49"/>
      <x:c r="F28" s="51"/>
      <x:c r="G28" s="53"/>
      <x:c r="H28" s="53"/>
      <x:c r="I28" s="53" t="str">
        <x:f>IF(OR(F28="",G28=""),"",IF(F28&gt;0,G28*F28/100,G28*100/ABS(F28)))</x:f>
      </x:c>
      <x:c r="J28" s="53" t="str">
        <x:f>IF(H28="","",IF(H28="Win",I28,IF(H28="Loss",-G28,0)))</x:f>
      </x:c>
      <x:c r="K28" s="53" t="n">
        <x:f>IF(COUNTA(A$5:A28)=0,"",Dashboard!$B$5+SUM(J$5:J28))</x:f>
        <x:v>20.7</x:v>
      </x:c>
      <x:c r="L28" s="55" t="str">
        <x:f>IFERROR(J28/G28,"")</x:f>
      </x:c>
      <x:c r="M28" s="36"/>
      <x:c r="N28" s="57" t="str">
        <x:f>IF(A28="","",TEXT(A28,"mmm yyyy"))</x:f>
      </x:c>
    </x:row>
    <x:row r="29">
      <x:c r="A29" s="47"/>
      <x:c r="B29" s="49"/>
      <x:c r="C29" s="49"/>
      <x:c r="D29" s="36"/>
      <x:c r="E29" s="49"/>
      <x:c r="F29" s="51"/>
      <x:c r="G29" s="53"/>
      <x:c r="H29" s="53"/>
      <x:c r="I29" s="53" t="str">
        <x:f>IF(OR(F29="",G29=""),"",IF(F29&gt;0,G29*F29/100,G29*100/ABS(F29)))</x:f>
      </x:c>
      <x:c r="J29" s="53" t="str">
        <x:f>IF(H29="","",IF(H29="Win",I29,IF(H29="Loss",-G29,0)))</x:f>
      </x:c>
      <x:c r="K29" s="53" t="n">
        <x:f>IF(COUNTA(A$5:A29)=0,"",Dashboard!$B$5+SUM(J$5:J29))</x:f>
        <x:v>20.7</x:v>
      </x:c>
      <x:c r="L29" s="55" t="str">
        <x:f>IFERROR(J29/G29,"")</x:f>
      </x:c>
      <x:c r="M29" s="36"/>
      <x:c r="N29" s="57" t="str">
        <x:f>IF(A29="","",TEXT(A29,"mmm yyyy"))</x:f>
      </x:c>
    </x:row>
    <x:row r="30">
      <x:c r="A30" s="47"/>
      <x:c r="B30" s="49"/>
      <x:c r="C30" s="49"/>
      <x:c r="D30" s="36"/>
      <x:c r="E30" s="49"/>
      <x:c r="F30" s="51"/>
      <x:c r="G30" s="53"/>
      <x:c r="H30" s="53"/>
      <x:c r="I30" s="53" t="str">
        <x:f>IF(OR(F30="",G30=""),"",IF(F30&gt;0,G30*F30/100,G30*100/ABS(F30)))</x:f>
      </x:c>
      <x:c r="J30" s="53" t="str">
        <x:f>IF(H30="","",IF(H30="Win",I30,IF(H30="Loss",-G30,0)))</x:f>
      </x:c>
      <x:c r="K30" s="53" t="n">
        <x:f>IF(COUNTA(A$5:A30)=0,"",Dashboard!$B$5+SUM(J$5:J30))</x:f>
        <x:v>20.7</x:v>
      </x:c>
      <x:c r="L30" s="55" t="str">
        <x:f>IFERROR(J30/G30,"")</x:f>
      </x:c>
      <x:c r="M30" s="36"/>
      <x:c r="N30" s="57" t="str">
        <x:f>IF(A30="","",TEXT(A30,"mmm yyyy"))</x:f>
      </x:c>
    </x:row>
    <x:row r="31">
      <x:c r="A31" s="47"/>
      <x:c r="B31" s="49"/>
      <x:c r="C31" s="49"/>
      <x:c r="D31" s="36"/>
      <x:c r="E31" s="49"/>
      <x:c r="F31" s="51"/>
      <x:c r="G31" s="53"/>
      <x:c r="H31" s="53"/>
      <x:c r="I31" s="53" t="str">
        <x:f>IF(OR(F31="",G31=""),"",IF(F31&gt;0,G31*F31/100,G31*100/ABS(F31)))</x:f>
      </x:c>
      <x:c r="J31" s="53" t="str">
        <x:f>IF(H31="","",IF(H31="Win",I31,IF(H31="Loss",-G31,0)))</x:f>
      </x:c>
      <x:c r="K31" s="53" t="n">
        <x:f>IF(COUNTA(A$5:A31)=0,"",Dashboard!$B$5+SUM(J$5:J31))</x:f>
        <x:v>20.7</x:v>
      </x:c>
      <x:c r="L31" s="55" t="str">
        <x:f>IFERROR(J31/G31,"")</x:f>
      </x:c>
      <x:c r="M31" s="36"/>
      <x:c r="N31" s="57" t="str">
        <x:f>IF(A31="","",TEXT(A31,"mmm yyyy"))</x:f>
      </x:c>
    </x:row>
    <x:row r="32">
      <x:c r="A32" s="47"/>
      <x:c r="B32" s="49"/>
      <x:c r="C32" s="49"/>
      <x:c r="D32" s="36"/>
      <x:c r="E32" s="49"/>
      <x:c r="F32" s="51"/>
      <x:c r="G32" s="53"/>
      <x:c r="H32" s="53"/>
      <x:c r="I32" s="53" t="str">
        <x:f>IF(OR(F32="",G32=""),"",IF(F32&gt;0,G32*F32/100,G32*100/ABS(F32)))</x:f>
      </x:c>
      <x:c r="J32" s="53" t="str">
        <x:f>IF(H32="","",IF(H32="Win",I32,IF(H32="Loss",-G32,0)))</x:f>
      </x:c>
      <x:c r="K32" s="53" t="n">
        <x:f>IF(COUNTA(A$5:A32)=0,"",Dashboard!$B$5+SUM(J$5:J32))</x:f>
        <x:v>20.7</x:v>
      </x:c>
      <x:c r="L32" s="55" t="str">
        <x:f>IFERROR(J32/G32,"")</x:f>
      </x:c>
      <x:c r="M32" s="36"/>
      <x:c r="N32" s="57" t="str">
        <x:f>IF(A32="","",TEXT(A32,"mmm yyyy"))</x:f>
      </x:c>
    </x:row>
    <x:row r="33">
      <x:c r="A33" s="47"/>
      <x:c r="B33" s="49"/>
      <x:c r="C33" s="49"/>
      <x:c r="D33" s="36"/>
      <x:c r="E33" s="49"/>
      <x:c r="F33" s="51"/>
      <x:c r="G33" s="53"/>
      <x:c r="H33" s="53"/>
      <x:c r="I33" s="53" t="str">
        <x:f>IF(OR(F33="",G33=""),"",IF(F33&gt;0,G33*F33/100,G33*100/ABS(F33)))</x:f>
      </x:c>
      <x:c r="J33" s="53" t="str">
        <x:f>IF(H33="","",IF(H33="Win",I33,IF(H33="Loss",-G33,0)))</x:f>
      </x:c>
      <x:c r="K33" s="53" t="n">
        <x:f>IF(COUNTA(A$5:A33)=0,"",Dashboard!$B$5+SUM(J$5:J33))</x:f>
        <x:v>20.7</x:v>
      </x:c>
      <x:c r="L33" s="55" t="str">
        <x:f>IFERROR(J33/G33,"")</x:f>
      </x:c>
      <x:c r="M33" s="36"/>
      <x:c r="N33" s="57" t="str">
        <x:f>IF(A33="","",TEXT(A33,"mmm yyyy"))</x:f>
      </x:c>
    </x:row>
    <x:row r="34">
      <x:c r="A34" s="47"/>
      <x:c r="B34" s="49"/>
      <x:c r="C34" s="49"/>
      <x:c r="D34" s="36"/>
      <x:c r="E34" s="49"/>
      <x:c r="F34" s="51"/>
      <x:c r="G34" s="53"/>
      <x:c r="H34" s="53"/>
      <x:c r="I34" s="53" t="str">
        <x:f>IF(OR(F34="",G34=""),"",IF(F34&gt;0,G34*F34/100,G34*100/ABS(F34)))</x:f>
      </x:c>
      <x:c r="J34" s="53" t="str">
        <x:f>IF(H34="","",IF(H34="Win",I34,IF(H34="Loss",-G34,0)))</x:f>
      </x:c>
      <x:c r="K34" s="53" t="n">
        <x:f>IF(COUNTA(A$5:A34)=0,"",Dashboard!$B$5+SUM(J$5:J34))</x:f>
        <x:v>20.7</x:v>
      </x:c>
      <x:c r="L34" s="55" t="str">
        <x:f>IFERROR(J34/G34,"")</x:f>
      </x:c>
      <x:c r="M34" s="36"/>
      <x:c r="N34" s="57" t="str">
        <x:f>IF(A34="","",TEXT(A34,"mmm yyyy"))</x:f>
      </x:c>
    </x:row>
    <x:row r="35">
      <x:c r="A35" s="47"/>
      <x:c r="B35" s="49"/>
      <x:c r="C35" s="49"/>
      <x:c r="D35" s="36"/>
      <x:c r="E35" s="49"/>
      <x:c r="F35" s="51"/>
      <x:c r="G35" s="53"/>
      <x:c r="H35" s="53"/>
      <x:c r="I35" s="53" t="str">
        <x:f>IF(OR(F35="",G35=""),"",IF(F35&gt;0,G35*F35/100,G35*100/ABS(F35)))</x:f>
      </x:c>
      <x:c r="J35" s="53" t="str">
        <x:f>IF(H35="","",IF(H35="Win",I35,IF(H35="Loss",-G35,0)))</x:f>
      </x:c>
      <x:c r="K35" s="53" t="n">
        <x:f>IF(COUNTA(A$5:A35)=0,"",Dashboard!$B$5+SUM(J$5:J35))</x:f>
        <x:v>20.7</x:v>
      </x:c>
      <x:c r="L35" s="55" t="str">
        <x:f>IFERROR(J35/G35,"")</x:f>
      </x:c>
      <x:c r="M35" s="36"/>
      <x:c r="N35" s="57" t="str">
        <x:f>IF(A35="","",TEXT(A35,"mmm yyyy"))</x:f>
      </x:c>
    </x:row>
    <x:row r="36">
      <x:c r="A36" s="47"/>
      <x:c r="B36" s="49"/>
      <x:c r="C36" s="49"/>
      <x:c r="D36" s="36"/>
      <x:c r="E36" s="49"/>
      <x:c r="F36" s="51"/>
      <x:c r="G36" s="53"/>
      <x:c r="H36" s="53"/>
      <x:c r="I36" s="53" t="str">
        <x:f>IF(OR(F36="",G36=""),"",IF(F36&gt;0,G36*F36/100,G36*100/ABS(F36)))</x:f>
      </x:c>
      <x:c r="J36" s="53" t="str">
        <x:f>IF(H36="","",IF(H36="Win",I36,IF(H36="Loss",-G36,0)))</x:f>
      </x:c>
      <x:c r="K36" s="53" t="n">
        <x:f>IF(COUNTA(A$5:A36)=0,"",Dashboard!$B$5+SUM(J$5:J36))</x:f>
        <x:v>20.7</x:v>
      </x:c>
      <x:c r="L36" s="55" t="str">
        <x:f>IFERROR(J36/G36,"")</x:f>
      </x:c>
      <x:c r="M36" s="36"/>
      <x:c r="N36" s="57" t="str">
        <x:f>IF(A36="","",TEXT(A36,"mmm yyyy"))</x:f>
      </x:c>
    </x:row>
    <x:row r="37">
      <x:c r="A37" s="47"/>
      <x:c r="B37" s="49"/>
      <x:c r="C37" s="49"/>
      <x:c r="D37" s="36"/>
      <x:c r="E37" s="49"/>
      <x:c r="F37" s="51"/>
      <x:c r="G37" s="53"/>
      <x:c r="H37" s="53"/>
      <x:c r="I37" s="53" t="str">
        <x:f>IF(OR(F37="",G37=""),"",IF(F37&gt;0,G37*F37/100,G37*100/ABS(F37)))</x:f>
      </x:c>
      <x:c r="J37" s="53" t="str">
        <x:f>IF(H37="","",IF(H37="Win",I37,IF(H37="Loss",-G37,0)))</x:f>
      </x:c>
      <x:c r="K37" s="53" t="n">
        <x:f>IF(COUNTA(A$5:A37)=0,"",Dashboard!$B$5+SUM(J$5:J37))</x:f>
        <x:v>20.7</x:v>
      </x:c>
      <x:c r="L37" s="55" t="str">
        <x:f>IFERROR(J37/G37,"")</x:f>
      </x:c>
      <x:c r="M37" s="36"/>
      <x:c r="N37" s="57" t="str">
        <x:f>IF(A37="","",TEXT(A37,"mmm yyyy"))</x:f>
      </x:c>
    </x:row>
    <x:row r="38">
      <x:c r="A38" s="47"/>
      <x:c r="B38" s="49"/>
      <x:c r="C38" s="49"/>
      <x:c r="D38" s="36"/>
      <x:c r="E38" s="49"/>
      <x:c r="F38" s="51"/>
      <x:c r="G38" s="53"/>
      <x:c r="H38" s="53"/>
      <x:c r="I38" s="53" t="str">
        <x:f>IF(OR(F38="",G38=""),"",IF(F38&gt;0,G38*F38/100,G38*100/ABS(F38)))</x:f>
      </x:c>
      <x:c r="J38" s="53" t="str">
        <x:f>IF(H38="","",IF(H38="Win",I38,IF(H38="Loss",-G38,0)))</x:f>
      </x:c>
      <x:c r="K38" s="53" t="n">
        <x:f>IF(COUNTA(A$5:A38)=0,"",Dashboard!$B$5+SUM(J$5:J38))</x:f>
        <x:v>20.7</x:v>
      </x:c>
      <x:c r="L38" s="55" t="str">
        <x:f>IFERROR(J38/G38,"")</x:f>
      </x:c>
      <x:c r="M38" s="36"/>
      <x:c r="N38" s="57" t="str">
        <x:f>IF(A38="","",TEXT(A38,"mmm yyyy"))</x:f>
      </x:c>
    </x:row>
    <x:row r="39">
      <x:c r="A39" s="47"/>
      <x:c r="B39" s="49"/>
      <x:c r="C39" s="49"/>
      <x:c r="D39" s="36"/>
      <x:c r="E39" s="49"/>
      <x:c r="F39" s="51"/>
      <x:c r="G39" s="53"/>
      <x:c r="H39" s="53"/>
      <x:c r="I39" s="53" t="str">
        <x:f>IF(OR(F39="",G39=""),"",IF(F39&gt;0,G39*F39/100,G39*100/ABS(F39)))</x:f>
      </x:c>
      <x:c r="J39" s="53" t="str">
        <x:f>IF(H39="","",IF(H39="Win",I39,IF(H39="Loss",-G39,0)))</x:f>
      </x:c>
      <x:c r="K39" s="53" t="n">
        <x:f>IF(COUNTA(A$5:A39)=0,"",Dashboard!$B$5+SUM(J$5:J39))</x:f>
        <x:v>20.7</x:v>
      </x:c>
      <x:c r="L39" s="55" t="str">
        <x:f>IFERROR(J39/G39,"")</x:f>
      </x:c>
      <x:c r="M39" s="36"/>
      <x:c r="N39" s="57" t="str">
        <x:f>IF(A39="","",TEXT(A39,"mmm yyyy"))</x:f>
      </x:c>
    </x:row>
    <x:row r="40">
      <x:c r="A40" s="47"/>
      <x:c r="B40" s="49"/>
      <x:c r="C40" s="49"/>
      <x:c r="D40" s="36"/>
      <x:c r="E40" s="49"/>
      <x:c r="F40" s="51"/>
      <x:c r="G40" s="53"/>
      <x:c r="H40" s="53"/>
      <x:c r="I40" s="53" t="str">
        <x:f>IF(OR(F40="",G40=""),"",IF(F40&gt;0,G40*F40/100,G40*100/ABS(F40)))</x:f>
      </x:c>
      <x:c r="J40" s="53" t="str">
        <x:f>IF(H40="","",IF(H40="Win",I40,IF(H40="Loss",-G40,0)))</x:f>
      </x:c>
      <x:c r="K40" s="53" t="n">
        <x:f>IF(COUNTA(A$5:A40)=0,"",Dashboard!$B$5+SUM(J$5:J40))</x:f>
        <x:v>20.7</x:v>
      </x:c>
      <x:c r="L40" s="55" t="str">
        <x:f>IFERROR(J40/G40,"")</x:f>
      </x:c>
      <x:c r="M40" s="36"/>
      <x:c r="N40" s="57" t="str">
        <x:f>IF(A40="","",TEXT(A40,"mmm yyyy"))</x:f>
      </x:c>
    </x:row>
    <x:row r="41">
      <x:c r="A41" s="47"/>
      <x:c r="B41" s="49"/>
      <x:c r="C41" s="49"/>
      <x:c r="D41" s="36"/>
      <x:c r="E41" s="49"/>
      <x:c r="F41" s="51"/>
      <x:c r="G41" s="53"/>
      <x:c r="H41" s="53"/>
      <x:c r="I41" s="53" t="str">
        <x:f>IF(OR(F41="",G41=""),"",IF(F41&gt;0,G41*F41/100,G41*100/ABS(F41)))</x:f>
      </x:c>
      <x:c r="J41" s="53" t="str">
        <x:f>IF(H41="","",IF(H41="Win",I41,IF(H41="Loss",-G41,0)))</x:f>
      </x:c>
      <x:c r="K41" s="53" t="n">
        <x:f>IF(COUNTA(A$5:A41)=0,"",Dashboard!$B$5+SUM(J$5:J41))</x:f>
        <x:v>20.7</x:v>
      </x:c>
      <x:c r="L41" s="55" t="str">
        <x:f>IFERROR(J41/G41,"")</x:f>
      </x:c>
      <x:c r="M41" s="36"/>
      <x:c r="N41" s="57" t="str">
        <x:f>IF(A41="","",TEXT(A41,"mmm yyyy"))</x:f>
      </x:c>
    </x:row>
    <x:row r="42">
      <x:c r="A42" s="47"/>
      <x:c r="B42" s="49"/>
      <x:c r="C42" s="49"/>
      <x:c r="D42" s="36"/>
      <x:c r="E42" s="49"/>
      <x:c r="F42" s="51"/>
      <x:c r="G42" s="53"/>
      <x:c r="H42" s="53"/>
      <x:c r="I42" s="53" t="str">
        <x:f>IF(OR(F42="",G42=""),"",IF(F42&gt;0,G42*F42/100,G42*100/ABS(F42)))</x:f>
      </x:c>
      <x:c r="J42" s="53" t="str">
        <x:f>IF(H42="","",IF(H42="Win",I42,IF(H42="Loss",-G42,0)))</x:f>
      </x:c>
      <x:c r="K42" s="53" t="n">
        <x:f>IF(COUNTA(A$5:A42)=0,"",Dashboard!$B$5+SUM(J$5:J42))</x:f>
        <x:v>20.7</x:v>
      </x:c>
      <x:c r="L42" s="55" t="str">
        <x:f>IFERROR(J42/G42,"")</x:f>
      </x:c>
      <x:c r="M42" s="36"/>
      <x:c r="N42" s="57" t="str">
        <x:f>IF(A42="","",TEXT(A42,"mmm yyyy"))</x:f>
      </x:c>
    </x:row>
    <x:row r="43">
      <x:c r="A43" s="47"/>
      <x:c r="B43" s="49"/>
      <x:c r="C43" s="49"/>
      <x:c r="D43" s="36"/>
      <x:c r="E43" s="49"/>
      <x:c r="F43" s="51"/>
      <x:c r="G43" s="53"/>
      <x:c r="H43" s="53"/>
      <x:c r="I43" s="53" t="str">
        <x:f>IF(OR(F43="",G43=""),"",IF(F43&gt;0,G43*F43/100,G43*100/ABS(F43)))</x:f>
      </x:c>
      <x:c r="J43" s="53" t="str">
        <x:f>IF(H43="","",IF(H43="Win",I43,IF(H43="Loss",-G43,0)))</x:f>
      </x:c>
      <x:c r="K43" s="53" t="n">
        <x:f>IF(COUNTA(A$5:A43)=0,"",Dashboard!$B$5+SUM(J$5:J43))</x:f>
        <x:v>20.7</x:v>
      </x:c>
      <x:c r="L43" s="55" t="str">
        <x:f>IFERROR(J43/G43,"")</x:f>
      </x:c>
      <x:c r="M43" s="36"/>
      <x:c r="N43" s="57" t="str">
        <x:f>IF(A43="","",TEXT(A43,"mmm yyyy"))</x:f>
      </x:c>
    </x:row>
    <x:row r="44">
      <x:c r="A44" s="47"/>
      <x:c r="B44" s="49"/>
      <x:c r="C44" s="49"/>
      <x:c r="D44" s="36"/>
      <x:c r="E44" s="49"/>
      <x:c r="F44" s="51"/>
      <x:c r="G44" s="53"/>
      <x:c r="H44" s="53"/>
      <x:c r="I44" s="53" t="str">
        <x:f>IF(OR(F44="",G44=""),"",IF(F44&gt;0,G44*F44/100,G44*100/ABS(F44)))</x:f>
      </x:c>
      <x:c r="J44" s="53" t="str">
        <x:f>IF(H44="","",IF(H44="Win",I44,IF(H44="Loss",-G44,0)))</x:f>
      </x:c>
      <x:c r="K44" s="53" t="n">
        <x:f>IF(COUNTA(A$5:A44)=0,"",Dashboard!$B$5+SUM(J$5:J44))</x:f>
        <x:v>20.7</x:v>
      </x:c>
      <x:c r="L44" s="55" t="str">
        <x:f>IFERROR(J44/G44,"")</x:f>
      </x:c>
      <x:c r="M44" s="36"/>
      <x:c r="N44" s="57" t="str">
        <x:f>IF(A44="","",TEXT(A44,"mmm yyyy"))</x:f>
      </x:c>
    </x:row>
    <x:row r="45">
      <x:c r="A45" s="47"/>
      <x:c r="B45" s="49"/>
      <x:c r="C45" s="49"/>
      <x:c r="D45" s="36"/>
      <x:c r="E45" s="49"/>
      <x:c r="F45" s="51"/>
      <x:c r="G45" s="53"/>
      <x:c r="H45" s="53"/>
      <x:c r="I45" s="53" t="str">
        <x:f>IF(OR(F45="",G45=""),"",IF(F45&gt;0,G45*F45/100,G45*100/ABS(F45)))</x:f>
      </x:c>
      <x:c r="J45" s="53" t="str">
        <x:f>IF(H45="","",IF(H45="Win",I45,IF(H45="Loss",-G45,0)))</x:f>
      </x:c>
      <x:c r="K45" s="53" t="n">
        <x:f>IF(COUNTA(A$5:A45)=0,"",Dashboard!$B$5+SUM(J$5:J45))</x:f>
        <x:v>20.7</x:v>
      </x:c>
      <x:c r="L45" s="55" t="str">
        <x:f>IFERROR(J45/G45,"")</x:f>
      </x:c>
      <x:c r="M45" s="36"/>
      <x:c r="N45" s="57" t="str">
        <x:f>IF(A45="","",TEXT(A45,"mmm yyyy"))</x:f>
      </x:c>
    </x:row>
    <x:row r="46">
      <x:c r="A46" s="47"/>
      <x:c r="B46" s="49"/>
      <x:c r="C46" s="49"/>
      <x:c r="D46" s="36"/>
      <x:c r="E46" s="49"/>
      <x:c r="F46" s="51"/>
      <x:c r="G46" s="53"/>
      <x:c r="H46" s="53"/>
      <x:c r="I46" s="53" t="str">
        <x:f>IF(OR(F46="",G46=""),"",IF(F46&gt;0,G46*F46/100,G46*100/ABS(F46)))</x:f>
      </x:c>
      <x:c r="J46" s="53" t="str">
        <x:f>IF(H46="","",IF(H46="Win",I46,IF(H46="Loss",-G46,0)))</x:f>
      </x:c>
      <x:c r="K46" s="53" t="n">
        <x:f>IF(COUNTA(A$5:A46)=0,"",Dashboard!$B$5+SUM(J$5:J46))</x:f>
        <x:v>20.7</x:v>
      </x:c>
      <x:c r="L46" s="55" t="str">
        <x:f>IFERROR(J46/G46,"")</x:f>
      </x:c>
      <x:c r="M46" s="36"/>
      <x:c r="N46" s="57" t="str">
        <x:f>IF(A46="","",TEXT(A46,"mmm yyyy"))</x:f>
      </x:c>
    </x:row>
    <x:row r="47">
      <x:c r="A47" s="47"/>
      <x:c r="B47" s="49"/>
      <x:c r="C47" s="49"/>
      <x:c r="D47" s="36"/>
      <x:c r="E47" s="49"/>
      <x:c r="F47" s="51"/>
      <x:c r="G47" s="53"/>
      <x:c r="H47" s="53"/>
      <x:c r="I47" s="53" t="str">
        <x:f>IF(OR(F47="",G47=""),"",IF(F47&gt;0,G47*F47/100,G47*100/ABS(F47)))</x:f>
      </x:c>
      <x:c r="J47" s="53" t="str">
        <x:f>IF(H47="","",IF(H47="Win",I47,IF(H47="Loss",-G47,0)))</x:f>
      </x:c>
      <x:c r="K47" s="53" t="n">
        <x:f>IF(COUNTA(A$5:A47)=0,"",Dashboard!$B$5+SUM(J$5:J47))</x:f>
        <x:v>20.7</x:v>
      </x:c>
      <x:c r="L47" s="55" t="str">
        <x:f>IFERROR(J47/G47,"")</x:f>
      </x:c>
      <x:c r="M47" s="36"/>
      <x:c r="N47" s="57" t="str">
        <x:f>IF(A47="","",TEXT(A47,"mmm yyyy"))</x:f>
      </x:c>
    </x:row>
    <x:row r="48">
      <x:c r="A48" s="47"/>
      <x:c r="B48" s="49"/>
      <x:c r="C48" s="49"/>
      <x:c r="D48" s="36"/>
      <x:c r="E48" s="49"/>
      <x:c r="F48" s="51"/>
      <x:c r="G48" s="53"/>
      <x:c r="H48" s="53"/>
      <x:c r="I48" s="53" t="str">
        <x:f>IF(OR(F48="",G48=""),"",IF(F48&gt;0,G48*F48/100,G48*100/ABS(F48)))</x:f>
      </x:c>
      <x:c r="J48" s="53" t="str">
        <x:f>IF(H48="","",IF(H48="Win",I48,IF(H48="Loss",-G48,0)))</x:f>
      </x:c>
      <x:c r="K48" s="53" t="n">
        <x:f>IF(COUNTA(A$5:A48)=0,"",Dashboard!$B$5+SUM(J$5:J48))</x:f>
        <x:v>20.7</x:v>
      </x:c>
      <x:c r="L48" s="55" t="str">
        <x:f>IFERROR(J48/G48,"")</x:f>
      </x:c>
      <x:c r="M48" s="36"/>
      <x:c r="N48" s="57" t="str">
        <x:f>IF(A48="","",TEXT(A48,"mmm yyyy"))</x:f>
      </x:c>
    </x:row>
    <x:row r="49">
      <x:c r="A49" s="47"/>
      <x:c r="B49" s="49"/>
      <x:c r="C49" s="49"/>
      <x:c r="D49" s="36"/>
      <x:c r="E49" s="49"/>
      <x:c r="F49" s="51"/>
      <x:c r="G49" s="53"/>
      <x:c r="H49" s="53"/>
      <x:c r="I49" s="53" t="str">
        <x:f>IF(OR(F49="",G49=""),"",IF(F49&gt;0,G49*F49/100,G49*100/ABS(F49)))</x:f>
      </x:c>
      <x:c r="J49" s="53" t="str">
        <x:f>IF(H49="","",IF(H49="Win",I49,IF(H49="Loss",-G49,0)))</x:f>
      </x:c>
      <x:c r="K49" s="53" t="n">
        <x:f>IF(COUNTA(A$5:A49)=0,"",Dashboard!$B$5+SUM(J$5:J49))</x:f>
        <x:v>20.7</x:v>
      </x:c>
      <x:c r="L49" s="55" t="str">
        <x:f>IFERROR(J49/G49,"")</x:f>
      </x:c>
      <x:c r="M49" s="36"/>
      <x:c r="N49" s="57" t="str">
        <x:f>IF(A49="","",TEXT(A49,"mmm yyyy"))</x:f>
      </x:c>
    </x:row>
    <x:row r="50">
      <x:c r="A50" s="47"/>
      <x:c r="B50" s="49"/>
      <x:c r="C50" s="49"/>
      <x:c r="D50" s="36"/>
      <x:c r="E50" s="49"/>
      <x:c r="F50" s="51"/>
      <x:c r="G50" s="53"/>
      <x:c r="H50" s="53"/>
      <x:c r="I50" s="53" t="str">
        <x:f>IF(OR(F50="",G50=""),"",IF(F50&gt;0,G50*F50/100,G50*100/ABS(F50)))</x:f>
      </x:c>
      <x:c r="J50" s="53" t="str">
        <x:f>IF(H50="","",IF(H50="Win",I50,IF(H50="Loss",-G50,0)))</x:f>
      </x:c>
      <x:c r="K50" s="53" t="n">
        <x:f>IF(COUNTA(A$5:A50)=0,"",Dashboard!$B$5+SUM(J$5:J50))</x:f>
        <x:v>20.7</x:v>
      </x:c>
      <x:c r="L50" s="55" t="str">
        <x:f>IFERROR(J50/G50,"")</x:f>
      </x:c>
      <x:c r="M50" s="36"/>
      <x:c r="N50" s="57" t="str">
        <x:f>IF(A50="","",TEXT(A50,"mmm yyyy"))</x:f>
      </x:c>
    </x:row>
    <x:row r="51">
      <x:c r="A51" s="47"/>
      <x:c r="B51" s="49"/>
      <x:c r="C51" s="49"/>
      <x:c r="D51" s="36"/>
      <x:c r="E51" s="49"/>
      <x:c r="F51" s="51"/>
      <x:c r="G51" s="53"/>
      <x:c r="H51" s="53"/>
      <x:c r="I51" s="53" t="str">
        <x:f>IF(OR(F51="",G51=""),"",IF(F51&gt;0,G51*F51/100,G51*100/ABS(F51)))</x:f>
      </x:c>
      <x:c r="J51" s="53" t="str">
        <x:f>IF(H51="","",IF(H51="Win",I51,IF(H51="Loss",-G51,0)))</x:f>
      </x:c>
      <x:c r="K51" s="53" t="n">
        <x:f>IF(COUNTA(A$5:A51)=0,"",Dashboard!$B$5+SUM(J$5:J51))</x:f>
        <x:v>20.7</x:v>
      </x:c>
      <x:c r="L51" s="55" t="str">
        <x:f>IFERROR(J51/G51,"")</x:f>
      </x:c>
      <x:c r="M51" s="36"/>
      <x:c r="N51" s="57" t="str">
        <x:f>IF(A51="","",TEXT(A51,"mmm yyyy"))</x:f>
      </x:c>
    </x:row>
    <x:row r="52">
      <x:c r="A52" s="47"/>
      <x:c r="B52" s="49"/>
      <x:c r="C52" s="49"/>
      <x:c r="D52" s="36"/>
      <x:c r="E52" s="49"/>
      <x:c r="F52" s="51"/>
      <x:c r="G52" s="53"/>
      <x:c r="H52" s="53"/>
      <x:c r="I52" s="53" t="str">
        <x:f>IF(OR(F52="",G52=""),"",IF(F52&gt;0,G52*F52/100,G52*100/ABS(F52)))</x:f>
      </x:c>
      <x:c r="J52" s="53" t="str">
        <x:f>IF(H52="","",IF(H52="Win",I52,IF(H52="Loss",-G52,0)))</x:f>
      </x:c>
      <x:c r="K52" s="53" t="n">
        <x:f>IF(COUNTA(A$5:A52)=0,"",Dashboard!$B$5+SUM(J$5:J52))</x:f>
        <x:v>20.7</x:v>
      </x:c>
      <x:c r="L52" s="55" t="str">
        <x:f>IFERROR(J52/G52,"")</x:f>
      </x:c>
      <x:c r="M52" s="36"/>
      <x:c r="N52" s="57" t="str">
        <x:f>IF(A52="","",TEXT(A52,"mmm yyyy"))</x:f>
      </x:c>
    </x:row>
    <x:row r="53">
      <x:c r="A53" s="47"/>
      <x:c r="B53" s="49"/>
      <x:c r="C53" s="49"/>
      <x:c r="D53" s="36"/>
      <x:c r="E53" s="49"/>
      <x:c r="F53" s="51"/>
      <x:c r="G53" s="53"/>
      <x:c r="H53" s="53"/>
      <x:c r="I53" s="53" t="str">
        <x:f>IF(OR(F53="",G53=""),"",IF(F53&gt;0,G53*F53/100,G53*100/ABS(F53)))</x:f>
      </x:c>
      <x:c r="J53" s="53" t="str">
        <x:f>IF(H53="","",IF(H53="Win",I53,IF(H53="Loss",-G53,0)))</x:f>
      </x:c>
      <x:c r="K53" s="53" t="n">
        <x:f>IF(COUNTA(A$5:A53)=0,"",Dashboard!$B$5+SUM(J$5:J53))</x:f>
        <x:v>20.7</x:v>
      </x:c>
      <x:c r="L53" s="55" t="str">
        <x:f>IFERROR(J53/G53,"")</x:f>
      </x:c>
      <x:c r="M53" s="36"/>
      <x:c r="N53" s="57" t="str">
        <x:f>IF(A53="","",TEXT(A53,"mmm yyyy"))</x:f>
      </x:c>
    </x:row>
    <x:row r="54">
      <x:c r="A54" s="47"/>
      <x:c r="B54" s="49"/>
      <x:c r="C54" s="49"/>
      <x:c r="D54" s="36"/>
      <x:c r="E54" s="49"/>
      <x:c r="F54" s="51"/>
      <x:c r="G54" s="53"/>
      <x:c r="H54" s="53"/>
      <x:c r="I54" s="53" t="str">
        <x:f>IF(OR(F54="",G54=""),"",IF(F54&gt;0,G54*F54/100,G54*100/ABS(F54)))</x:f>
      </x:c>
      <x:c r="J54" s="53" t="str">
        <x:f>IF(H54="","",IF(H54="Win",I54,IF(H54="Loss",-G54,0)))</x:f>
      </x:c>
      <x:c r="K54" s="53" t="n">
        <x:f>IF(COUNTA(A$5:A54)=0,"",Dashboard!$B$5+SUM(J$5:J54))</x:f>
        <x:v>20.7</x:v>
      </x:c>
      <x:c r="L54" s="55" t="str">
        <x:f>IFERROR(J54/G54,"")</x:f>
      </x:c>
      <x:c r="M54" s="36"/>
      <x:c r="N54" s="57" t="str">
        <x:f>IF(A54="","",TEXT(A54,"mmm yyyy"))</x:f>
      </x:c>
    </x:row>
    <x:row r="55">
      <x:c r="A55" s="47"/>
      <x:c r="B55" s="49"/>
      <x:c r="C55" s="49"/>
      <x:c r="D55" s="36"/>
      <x:c r="E55" s="49"/>
      <x:c r="F55" s="51"/>
      <x:c r="G55" s="53"/>
      <x:c r="H55" s="53"/>
      <x:c r="I55" s="53" t="str">
        <x:f>IF(OR(F55="",G55=""),"",IF(F55&gt;0,G55*F55/100,G55*100/ABS(F55)))</x:f>
      </x:c>
      <x:c r="J55" s="53" t="str">
        <x:f>IF(H55="","",IF(H55="Win",I55,IF(H55="Loss",-G55,0)))</x:f>
      </x:c>
      <x:c r="K55" s="53" t="n">
        <x:f>IF(COUNTA(A$5:A55)=0,"",Dashboard!$B$5+SUM(J$5:J55))</x:f>
        <x:v>20.7</x:v>
      </x:c>
      <x:c r="L55" s="55" t="str">
        <x:f>IFERROR(J55/G55,"")</x:f>
      </x:c>
      <x:c r="M55" s="36"/>
      <x:c r="N55" s="57" t="str">
        <x:f>IF(A55="","",TEXT(A55,"mmm yyyy"))</x:f>
      </x:c>
    </x:row>
    <x:row r="56">
      <x:c r="A56" s="47"/>
      <x:c r="B56" s="49"/>
      <x:c r="C56" s="49"/>
      <x:c r="D56" s="36"/>
      <x:c r="E56" s="49"/>
      <x:c r="F56" s="51"/>
      <x:c r="G56" s="53"/>
      <x:c r="H56" s="53"/>
      <x:c r="I56" s="53" t="str">
        <x:f>IF(OR(F56="",G56=""),"",IF(F56&gt;0,G56*F56/100,G56*100/ABS(F56)))</x:f>
      </x:c>
      <x:c r="J56" s="53" t="str">
        <x:f>IF(H56="","",IF(H56="Win",I56,IF(H56="Loss",-G56,0)))</x:f>
      </x:c>
      <x:c r="K56" s="53" t="n">
        <x:f>IF(COUNTA(A$5:A56)=0,"",Dashboard!$B$5+SUM(J$5:J56))</x:f>
        <x:v>20.7</x:v>
      </x:c>
      <x:c r="L56" s="55" t="str">
        <x:f>IFERROR(J56/G56,"")</x:f>
      </x:c>
      <x:c r="M56" s="36"/>
      <x:c r="N56" s="57" t="str">
        <x:f>IF(A56="","",TEXT(A56,"mmm yyyy"))</x:f>
      </x:c>
    </x:row>
    <x:row r="57">
      <x:c r="A57" s="47"/>
      <x:c r="B57" s="49"/>
      <x:c r="C57" s="49"/>
      <x:c r="D57" s="36"/>
      <x:c r="E57" s="49"/>
      <x:c r="F57" s="51"/>
      <x:c r="G57" s="53"/>
      <x:c r="H57" s="53"/>
      <x:c r="I57" s="53" t="str">
        <x:f>IF(OR(F57="",G57=""),"",IF(F57&gt;0,G57*F57/100,G57*100/ABS(F57)))</x:f>
      </x:c>
      <x:c r="J57" s="53" t="str">
        <x:f>IF(H57="","",IF(H57="Win",I57,IF(H57="Loss",-G57,0)))</x:f>
      </x:c>
      <x:c r="K57" s="53" t="n">
        <x:f>IF(COUNTA(A$5:A57)=0,"",Dashboard!$B$5+SUM(J$5:J57))</x:f>
        <x:v>20.7</x:v>
      </x:c>
      <x:c r="L57" s="55" t="str">
        <x:f>IFERROR(J57/G57,"")</x:f>
      </x:c>
      <x:c r="M57" s="36"/>
      <x:c r="N57" s="57" t="str">
        <x:f>IF(A57="","",TEXT(A57,"mmm yyyy"))</x:f>
      </x:c>
    </x:row>
    <x:row r="58">
      <x:c r="A58" s="47"/>
      <x:c r="B58" s="49"/>
      <x:c r="C58" s="49"/>
      <x:c r="D58" s="36"/>
      <x:c r="E58" s="49"/>
      <x:c r="F58" s="51"/>
      <x:c r="G58" s="53"/>
      <x:c r="H58" s="53"/>
      <x:c r="I58" s="53" t="str">
        <x:f>IF(OR(F58="",G58=""),"",IF(F58&gt;0,G58*F58/100,G58*100/ABS(F58)))</x:f>
      </x:c>
      <x:c r="J58" s="53" t="str">
        <x:f>IF(H58="","",IF(H58="Win",I58,IF(H58="Loss",-G58,0)))</x:f>
      </x:c>
      <x:c r="K58" s="53" t="n">
        <x:f>IF(COUNTA(A$5:A58)=0,"",Dashboard!$B$5+SUM(J$5:J58))</x:f>
        <x:v>20.7</x:v>
      </x:c>
      <x:c r="L58" s="55" t="str">
        <x:f>IFERROR(J58/G58,"")</x:f>
      </x:c>
      <x:c r="M58" s="36"/>
      <x:c r="N58" s="57" t="str">
        <x:f>IF(A58="","",TEXT(A58,"mmm yyyy"))</x:f>
      </x:c>
    </x:row>
    <x:row r="59">
      <x:c r="A59" s="47"/>
      <x:c r="B59" s="49"/>
      <x:c r="C59" s="49"/>
      <x:c r="D59" s="36"/>
      <x:c r="E59" s="49"/>
      <x:c r="F59" s="51"/>
      <x:c r="G59" s="53"/>
      <x:c r="H59" s="53"/>
      <x:c r="I59" s="53" t="str">
        <x:f>IF(OR(F59="",G59=""),"",IF(F59&gt;0,G59*F59/100,G59*100/ABS(F59)))</x:f>
      </x:c>
      <x:c r="J59" s="53" t="str">
        <x:f>IF(H59="","",IF(H59="Win",I59,IF(H59="Loss",-G59,0)))</x:f>
      </x:c>
      <x:c r="K59" s="53" t="n">
        <x:f>IF(COUNTA(A$5:A59)=0,"",Dashboard!$B$5+SUM(J$5:J59))</x:f>
        <x:v>20.7</x:v>
      </x:c>
      <x:c r="L59" s="55" t="str">
        <x:f>IFERROR(J59/G59,"")</x:f>
      </x:c>
      <x:c r="M59" s="36"/>
      <x:c r="N59" s="57" t="str">
        <x:f>IF(A59="","",TEXT(A59,"mmm yyyy"))</x:f>
      </x:c>
    </x:row>
    <x:row r="60">
      <x:c r="A60" s="47"/>
      <x:c r="B60" s="49"/>
      <x:c r="C60" s="49"/>
      <x:c r="D60" s="36"/>
      <x:c r="E60" s="49"/>
      <x:c r="F60" s="51"/>
      <x:c r="G60" s="53"/>
      <x:c r="H60" s="53"/>
      <x:c r="I60" s="53" t="str">
        <x:f>IF(OR(F60="",G60=""),"",IF(F60&gt;0,G60*F60/100,G60*100/ABS(F60)))</x:f>
      </x:c>
      <x:c r="J60" s="53" t="str">
        <x:f>IF(H60="","",IF(H60="Win",I60,IF(H60="Loss",-G60,0)))</x:f>
      </x:c>
      <x:c r="K60" s="53" t="n">
        <x:f>IF(COUNTA(A$5:A60)=0,"",Dashboard!$B$5+SUM(J$5:J60))</x:f>
        <x:v>20.7</x:v>
      </x:c>
      <x:c r="L60" s="55" t="str">
        <x:f>IFERROR(J60/G60,"")</x:f>
      </x:c>
      <x:c r="M60" s="36"/>
      <x:c r="N60" s="57" t="str">
        <x:f>IF(A60="","",TEXT(A60,"mmm yyyy"))</x:f>
      </x:c>
    </x:row>
    <x:row r="61">
      <x:c r="A61" s="47"/>
      <x:c r="B61" s="49"/>
      <x:c r="C61" s="49"/>
      <x:c r="D61" s="36"/>
      <x:c r="E61" s="49"/>
      <x:c r="F61" s="51"/>
      <x:c r="G61" s="53"/>
      <x:c r="H61" s="53"/>
      <x:c r="I61" s="53" t="str">
        <x:f>IF(OR(F61="",G61=""),"",IF(F61&gt;0,G61*F61/100,G61*100/ABS(F61)))</x:f>
      </x:c>
      <x:c r="J61" s="53" t="str">
        <x:f>IF(H61="","",IF(H61="Win",I61,IF(H61="Loss",-G61,0)))</x:f>
      </x:c>
      <x:c r="K61" s="53" t="n">
        <x:f>IF(COUNTA(A$5:A61)=0,"",Dashboard!$B$5+SUM(J$5:J61))</x:f>
        <x:v>20.7</x:v>
      </x:c>
      <x:c r="L61" s="55" t="str">
        <x:f>IFERROR(J61/G61,"")</x:f>
      </x:c>
      <x:c r="M61" s="36"/>
      <x:c r="N61" s="57" t="str">
        <x:f>IF(A61="","",TEXT(A61,"mmm yyyy"))</x:f>
      </x:c>
    </x:row>
    <x:row r="62">
      <x:c r="A62" s="47"/>
      <x:c r="B62" s="49"/>
      <x:c r="C62" s="49"/>
      <x:c r="D62" s="36"/>
      <x:c r="E62" s="49"/>
      <x:c r="F62" s="51"/>
      <x:c r="G62" s="53"/>
      <x:c r="H62" s="53"/>
      <x:c r="I62" s="53" t="str">
        <x:f>IF(OR(F62="",G62=""),"",IF(F62&gt;0,G62*F62/100,G62*100/ABS(F62)))</x:f>
      </x:c>
      <x:c r="J62" s="53" t="str">
        <x:f>IF(H62="","",IF(H62="Win",I62,IF(H62="Loss",-G62,0)))</x:f>
      </x:c>
      <x:c r="K62" s="53" t="n">
        <x:f>IF(COUNTA(A$5:A62)=0,"",Dashboard!$B$5+SUM(J$5:J62))</x:f>
        <x:v>20.7</x:v>
      </x:c>
      <x:c r="L62" s="55" t="str">
        <x:f>IFERROR(J62/G62,"")</x:f>
      </x:c>
      <x:c r="M62" s="36"/>
      <x:c r="N62" s="57" t="str">
        <x:f>IF(A62="","",TEXT(A62,"mmm yyyy"))</x:f>
      </x:c>
    </x:row>
    <x:row r="63">
      <x:c r="A63" s="47"/>
      <x:c r="B63" s="49"/>
      <x:c r="C63" s="49"/>
      <x:c r="D63" s="36"/>
      <x:c r="E63" s="49"/>
      <x:c r="F63" s="51"/>
      <x:c r="G63" s="53"/>
      <x:c r="H63" s="53"/>
      <x:c r="I63" s="53" t="str">
        <x:f>IF(OR(F63="",G63=""),"",IF(F63&gt;0,G63*F63/100,G63*100/ABS(F63)))</x:f>
      </x:c>
      <x:c r="J63" s="53" t="str">
        <x:f>IF(H63="","",IF(H63="Win",I63,IF(H63="Loss",-G63,0)))</x:f>
      </x:c>
      <x:c r="K63" s="53" t="n">
        <x:f>IF(COUNTA(A$5:A63)=0,"",Dashboard!$B$5+SUM(J$5:J63))</x:f>
        <x:v>20.7</x:v>
      </x:c>
      <x:c r="L63" s="55" t="str">
        <x:f>IFERROR(J63/G63,"")</x:f>
      </x:c>
      <x:c r="M63" s="36"/>
      <x:c r="N63" s="57" t="str">
        <x:f>IF(A63="","",TEXT(A63,"mmm yyyy"))</x:f>
      </x:c>
    </x:row>
    <x:row r="64">
      <x:c r="A64" s="47"/>
      <x:c r="B64" s="49"/>
      <x:c r="C64" s="49"/>
      <x:c r="D64" s="36"/>
      <x:c r="E64" s="49"/>
      <x:c r="F64" s="51"/>
      <x:c r="G64" s="53"/>
      <x:c r="H64" s="53"/>
      <x:c r="I64" s="53" t="str">
        <x:f>IF(OR(F64="",G64=""),"",IF(F64&gt;0,G64*F64/100,G64*100/ABS(F64)))</x:f>
      </x:c>
      <x:c r="J64" s="53" t="str">
        <x:f>IF(H64="","",IF(H64="Win",I64,IF(H64="Loss",-G64,0)))</x:f>
      </x:c>
      <x:c r="K64" s="53" t="n">
        <x:f>IF(COUNTA(A$5:A64)=0,"",Dashboard!$B$5+SUM(J$5:J64))</x:f>
        <x:v>20.7</x:v>
      </x:c>
      <x:c r="L64" s="55" t="str">
        <x:f>IFERROR(J64/G64,"")</x:f>
      </x:c>
      <x:c r="M64" s="36"/>
      <x:c r="N64" s="57" t="str">
        <x:f>IF(A64="","",TEXT(A64,"mmm yyyy"))</x:f>
      </x:c>
    </x:row>
    <x:row r="65">
      <x:c r="A65" s="47"/>
      <x:c r="B65" s="49"/>
      <x:c r="C65" s="49"/>
      <x:c r="D65" s="36"/>
      <x:c r="E65" s="49"/>
      <x:c r="F65" s="51"/>
      <x:c r="G65" s="53"/>
      <x:c r="H65" s="53"/>
      <x:c r="I65" s="53" t="str">
        <x:f>IF(OR(F65="",G65=""),"",IF(F65&gt;0,G65*F65/100,G65*100/ABS(F65)))</x:f>
      </x:c>
      <x:c r="J65" s="53" t="str">
        <x:f>IF(H65="","",IF(H65="Win",I65,IF(H65="Loss",-G65,0)))</x:f>
      </x:c>
      <x:c r="K65" s="53" t="n">
        <x:f>IF(COUNTA(A$5:A65)=0,"",Dashboard!$B$5+SUM(J$5:J65))</x:f>
        <x:v>20.7</x:v>
      </x:c>
      <x:c r="L65" s="55" t="str">
        <x:f>IFERROR(J65/G65,"")</x:f>
      </x:c>
      <x:c r="M65" s="36"/>
      <x:c r="N65" s="57" t="str">
        <x:f>IF(A65="","",TEXT(A65,"mmm yyyy"))</x:f>
      </x:c>
    </x:row>
    <x:row r="66">
      <x:c r="A66" s="47"/>
      <x:c r="B66" s="49"/>
      <x:c r="C66" s="49"/>
      <x:c r="D66" s="36"/>
      <x:c r="E66" s="49"/>
      <x:c r="F66" s="51"/>
      <x:c r="G66" s="53"/>
      <x:c r="H66" s="53"/>
      <x:c r="I66" s="53" t="str">
        <x:f>IF(OR(F66="",G66=""),"",IF(F66&gt;0,G66*F66/100,G66*100/ABS(F66)))</x:f>
      </x:c>
      <x:c r="J66" s="53" t="str">
        <x:f>IF(H66="","",IF(H66="Win",I66,IF(H66="Loss",-G66,0)))</x:f>
      </x:c>
      <x:c r="K66" s="53" t="n">
        <x:f>IF(COUNTA(A$5:A66)=0,"",Dashboard!$B$5+SUM(J$5:J66))</x:f>
        <x:v>20.7</x:v>
      </x:c>
      <x:c r="L66" s="55" t="str">
        <x:f>IFERROR(J66/G66,"")</x:f>
      </x:c>
      <x:c r="M66" s="36"/>
      <x:c r="N66" s="57" t="str">
        <x:f>IF(A66="","",TEXT(A66,"mmm yyyy"))</x:f>
      </x:c>
    </x:row>
    <x:row r="67">
      <x:c r="A67" s="47"/>
      <x:c r="B67" s="49"/>
      <x:c r="C67" s="49"/>
      <x:c r="D67" s="36"/>
      <x:c r="E67" s="49"/>
      <x:c r="F67" s="51"/>
      <x:c r="G67" s="53"/>
      <x:c r="H67" s="53"/>
      <x:c r="I67" s="53" t="str">
        <x:f>IF(OR(F67="",G67=""),"",IF(F67&gt;0,G67*F67/100,G67*100/ABS(F67)))</x:f>
      </x:c>
      <x:c r="J67" s="53" t="str">
        <x:f>IF(H67="","",IF(H67="Win",I67,IF(H67="Loss",-G67,0)))</x:f>
      </x:c>
      <x:c r="K67" s="53" t="n">
        <x:f>IF(COUNTA(A$5:A67)=0,"",Dashboard!$B$5+SUM(J$5:J67))</x:f>
        <x:v>20.7</x:v>
      </x:c>
      <x:c r="L67" s="55" t="str">
        <x:f>IFERROR(J67/G67,"")</x:f>
      </x:c>
      <x:c r="M67" s="36"/>
      <x:c r="N67" s="57" t="str">
        <x:f>IF(A67="","",TEXT(A67,"mmm yyyy"))</x:f>
      </x:c>
    </x:row>
    <x:row r="68">
      <x:c r="A68" s="47"/>
      <x:c r="B68" s="49"/>
      <x:c r="C68" s="49"/>
      <x:c r="D68" s="36"/>
      <x:c r="E68" s="49"/>
      <x:c r="F68" s="51"/>
      <x:c r="G68" s="53"/>
      <x:c r="H68" s="53"/>
      <x:c r="I68" s="53" t="str">
        <x:f>IF(OR(F68="",G68=""),"",IF(F68&gt;0,G68*F68/100,G68*100/ABS(F68)))</x:f>
      </x:c>
      <x:c r="J68" s="53" t="str">
        <x:f>IF(H68="","",IF(H68="Win",I68,IF(H68="Loss",-G68,0)))</x:f>
      </x:c>
      <x:c r="K68" s="53" t="n">
        <x:f>IF(COUNTA(A$5:A68)=0,"",Dashboard!$B$5+SUM(J$5:J68))</x:f>
        <x:v>20.7</x:v>
      </x:c>
      <x:c r="L68" s="55" t="str">
        <x:f>IFERROR(J68/G68,"")</x:f>
      </x:c>
      <x:c r="M68" s="36"/>
      <x:c r="N68" s="57" t="str">
        <x:f>IF(A68="","",TEXT(A68,"mmm yyyy"))</x:f>
      </x:c>
    </x:row>
    <x:row r="69">
      <x:c r="A69" s="47"/>
      <x:c r="B69" s="49"/>
      <x:c r="C69" s="49"/>
      <x:c r="D69" s="36"/>
      <x:c r="E69" s="49"/>
      <x:c r="F69" s="51"/>
      <x:c r="G69" s="53"/>
      <x:c r="H69" s="53"/>
      <x:c r="I69" s="53" t="str">
        <x:f>IF(OR(F69="",G69=""),"",IF(F69&gt;0,G69*F69/100,G69*100/ABS(F69)))</x:f>
      </x:c>
      <x:c r="J69" s="53" t="str">
        <x:f>IF(H69="","",IF(H69="Win",I69,IF(H69="Loss",-G69,0)))</x:f>
      </x:c>
      <x:c r="K69" s="53" t="n">
        <x:f>IF(COUNTA(A$5:A69)=0,"",Dashboard!$B$5+SUM(J$5:J69))</x:f>
        <x:v>20.7</x:v>
      </x:c>
      <x:c r="L69" s="55" t="str">
        <x:f>IFERROR(J69/G69,"")</x:f>
      </x:c>
      <x:c r="M69" s="36"/>
      <x:c r="N69" s="57" t="str">
        <x:f>IF(A69="","",TEXT(A69,"mmm yyyy"))</x:f>
      </x:c>
    </x:row>
    <x:row r="70">
      <x:c r="A70" s="47"/>
      <x:c r="B70" s="49"/>
      <x:c r="C70" s="49"/>
      <x:c r="D70" s="36"/>
      <x:c r="E70" s="49"/>
      <x:c r="F70" s="51"/>
      <x:c r="G70" s="53"/>
      <x:c r="H70" s="53"/>
      <x:c r="I70" s="53" t="str">
        <x:f>IF(OR(F70="",G70=""),"",IF(F70&gt;0,G70*F70/100,G70*100/ABS(F70)))</x:f>
      </x:c>
      <x:c r="J70" s="53" t="str">
        <x:f>IF(H70="","",IF(H70="Win",I70,IF(H70="Loss",-G70,0)))</x:f>
      </x:c>
      <x:c r="K70" s="53" t="n">
        <x:f>IF(COUNTA(A$5:A70)=0,"",Dashboard!$B$5+SUM(J$5:J70))</x:f>
        <x:v>20.7</x:v>
      </x:c>
      <x:c r="L70" s="55" t="str">
        <x:f>IFERROR(J70/G70,"")</x:f>
      </x:c>
      <x:c r="M70" s="36"/>
      <x:c r="N70" s="57" t="str">
        <x:f>IF(A70="","",TEXT(A70,"mmm yyyy"))</x:f>
      </x:c>
    </x:row>
    <x:row r="71">
      <x:c r="A71" s="47"/>
      <x:c r="B71" s="49"/>
      <x:c r="C71" s="49"/>
      <x:c r="D71" s="36"/>
      <x:c r="E71" s="49"/>
      <x:c r="F71" s="51"/>
      <x:c r="G71" s="53"/>
      <x:c r="H71" s="53"/>
      <x:c r="I71" s="53" t="str">
        <x:f>IF(OR(F71="",G71=""),"",IF(F71&gt;0,G71*F71/100,G71*100/ABS(F71)))</x:f>
      </x:c>
      <x:c r="J71" s="53" t="str">
        <x:f>IF(H71="","",IF(H71="Win",I71,IF(H71="Loss",-G71,0)))</x:f>
      </x:c>
      <x:c r="K71" s="53" t="n">
        <x:f>IF(COUNTA(A$5:A71)=0,"",Dashboard!$B$5+SUM(J$5:J71))</x:f>
        <x:v>20.7</x:v>
      </x:c>
      <x:c r="L71" s="55" t="str">
        <x:f>IFERROR(J71/G71,"")</x:f>
      </x:c>
      <x:c r="M71" s="36"/>
      <x:c r="N71" s="57" t="str">
        <x:f>IF(A71="","",TEXT(A71,"mmm yyyy"))</x:f>
      </x:c>
    </x:row>
    <x:row r="72">
      <x:c r="A72" s="47"/>
      <x:c r="B72" s="49"/>
      <x:c r="C72" s="49"/>
      <x:c r="D72" s="36"/>
      <x:c r="E72" s="49"/>
      <x:c r="F72" s="51"/>
      <x:c r="G72" s="53"/>
      <x:c r="H72" s="53"/>
      <x:c r="I72" s="53" t="str">
        <x:f>IF(OR(F72="",G72=""),"",IF(F72&gt;0,G72*F72/100,G72*100/ABS(F72)))</x:f>
      </x:c>
      <x:c r="J72" s="53" t="str">
        <x:f>IF(H72="","",IF(H72="Win",I72,IF(H72="Loss",-G72,0)))</x:f>
      </x:c>
      <x:c r="K72" s="53" t="n">
        <x:f>IF(COUNTA(A$5:A72)=0,"",Dashboard!$B$5+SUM(J$5:J72))</x:f>
        <x:v>20.7</x:v>
      </x:c>
      <x:c r="L72" s="55" t="str">
        <x:f>IFERROR(J72/G72,"")</x:f>
      </x:c>
      <x:c r="M72" s="36"/>
      <x:c r="N72" s="57" t="str">
        <x:f>IF(A72="","",TEXT(A72,"mmm yyyy"))</x:f>
      </x:c>
    </x:row>
    <x:row r="73">
      <x:c r="A73" s="47"/>
      <x:c r="B73" s="49"/>
      <x:c r="C73" s="49"/>
      <x:c r="D73" s="36"/>
      <x:c r="E73" s="49"/>
      <x:c r="F73" s="51"/>
      <x:c r="G73" s="53"/>
      <x:c r="H73" s="53"/>
      <x:c r="I73" s="53" t="str">
        <x:f>IF(OR(F73="",G73=""),"",IF(F73&gt;0,G73*F73/100,G73*100/ABS(F73)))</x:f>
      </x:c>
      <x:c r="J73" s="53" t="str">
        <x:f>IF(H73="","",IF(H73="Win",I73,IF(H73="Loss",-G73,0)))</x:f>
      </x:c>
      <x:c r="K73" s="53" t="n">
        <x:f>IF(COUNTA(A$5:A73)=0,"",Dashboard!$B$5+SUM(J$5:J73))</x:f>
        <x:v>20.7</x:v>
      </x:c>
      <x:c r="L73" s="55" t="str">
        <x:f>IFERROR(J73/G73,"")</x:f>
      </x:c>
      <x:c r="M73" s="36"/>
      <x:c r="N73" s="57" t="str">
        <x:f>IF(A73="","",TEXT(A73,"mmm yyyy"))</x:f>
      </x:c>
    </x:row>
    <x:row r="74">
      <x:c r="A74" s="47"/>
      <x:c r="B74" s="49"/>
      <x:c r="C74" s="49"/>
      <x:c r="D74" s="36"/>
      <x:c r="E74" s="49"/>
      <x:c r="F74" s="51"/>
      <x:c r="G74" s="53"/>
      <x:c r="H74" s="53"/>
      <x:c r="I74" s="53" t="str">
        <x:f>IF(OR(F74="",G74=""),"",IF(F74&gt;0,G74*F74/100,G74*100/ABS(F74)))</x:f>
      </x:c>
      <x:c r="J74" s="53" t="str">
        <x:f>IF(H74="","",IF(H74="Win",I74,IF(H74="Loss",-G74,0)))</x:f>
      </x:c>
      <x:c r="K74" s="53" t="n">
        <x:f>IF(COUNTA(A$5:A74)=0,"",Dashboard!$B$5+SUM(J$5:J74))</x:f>
        <x:v>20.7</x:v>
      </x:c>
      <x:c r="L74" s="55" t="str">
        <x:f>IFERROR(J74/G74,"")</x:f>
      </x:c>
      <x:c r="M74" s="36"/>
      <x:c r="N74" s="57" t="str">
        <x:f>IF(A74="","",TEXT(A74,"mmm yyyy"))</x:f>
      </x:c>
    </x:row>
    <x:row r="75">
      <x:c r="A75" s="47"/>
      <x:c r="B75" s="49"/>
      <x:c r="C75" s="49"/>
      <x:c r="D75" s="36"/>
      <x:c r="E75" s="49"/>
      <x:c r="F75" s="51"/>
      <x:c r="G75" s="53"/>
      <x:c r="H75" s="53"/>
      <x:c r="I75" s="53" t="str">
        <x:f>IF(OR(F75="",G75=""),"",IF(F75&gt;0,G75*F75/100,G75*100/ABS(F75)))</x:f>
      </x:c>
      <x:c r="J75" s="53" t="str">
        <x:f>IF(H75="","",IF(H75="Win",I75,IF(H75="Loss",-G75,0)))</x:f>
      </x:c>
      <x:c r="K75" s="53" t="n">
        <x:f>IF(COUNTA(A$5:A75)=0,"",Dashboard!$B$5+SUM(J$5:J75))</x:f>
        <x:v>20.7</x:v>
      </x:c>
      <x:c r="L75" s="55" t="str">
        <x:f>IFERROR(J75/G75,"")</x:f>
      </x:c>
      <x:c r="M75" s="36"/>
      <x:c r="N75" s="57" t="str">
        <x:f>IF(A75="","",TEXT(A75,"mmm yyyy"))</x:f>
      </x:c>
    </x:row>
    <x:row r="76">
      <x:c r="A76" s="47"/>
      <x:c r="B76" s="49"/>
      <x:c r="C76" s="49"/>
      <x:c r="D76" s="36"/>
      <x:c r="E76" s="49"/>
      <x:c r="F76" s="51"/>
      <x:c r="G76" s="53"/>
      <x:c r="H76" s="53"/>
      <x:c r="I76" s="53" t="str">
        <x:f>IF(OR(F76="",G76=""),"",IF(F76&gt;0,G76*F76/100,G76*100/ABS(F76)))</x:f>
      </x:c>
      <x:c r="J76" s="53" t="str">
        <x:f>IF(H76="","",IF(H76="Win",I76,IF(H76="Loss",-G76,0)))</x:f>
      </x:c>
      <x:c r="K76" s="53" t="n">
        <x:f>IF(COUNTA(A$5:A76)=0,"",Dashboard!$B$5+SUM(J$5:J76))</x:f>
        <x:v>20.7</x:v>
      </x:c>
      <x:c r="L76" s="55" t="str">
        <x:f>IFERROR(J76/G76,"")</x:f>
      </x:c>
      <x:c r="M76" s="36"/>
      <x:c r="N76" s="57" t="str">
        <x:f>IF(A76="","",TEXT(A76,"mmm yyyy"))</x:f>
      </x:c>
    </x:row>
    <x:row r="77">
      <x:c r="A77" s="47"/>
      <x:c r="B77" s="49"/>
      <x:c r="C77" s="49"/>
      <x:c r="D77" s="36"/>
      <x:c r="E77" s="49"/>
      <x:c r="F77" s="51"/>
      <x:c r="G77" s="53"/>
      <x:c r="H77" s="53"/>
      <x:c r="I77" s="53" t="str">
        <x:f>IF(OR(F77="",G77=""),"",IF(F77&gt;0,G77*F77/100,G77*100/ABS(F77)))</x:f>
      </x:c>
      <x:c r="J77" s="53" t="str">
        <x:f>IF(H77="","",IF(H77="Win",I77,IF(H77="Loss",-G77,0)))</x:f>
      </x:c>
      <x:c r="K77" s="53" t="n">
        <x:f>IF(COUNTA(A$5:A77)=0,"",Dashboard!$B$5+SUM(J$5:J77))</x:f>
        <x:v>20.7</x:v>
      </x:c>
      <x:c r="L77" s="55" t="str">
        <x:f>IFERROR(J77/G77,"")</x:f>
      </x:c>
      <x:c r="M77" s="36"/>
      <x:c r="N77" s="57" t="str">
        <x:f>IF(A77="","",TEXT(A77,"mmm yyyy"))</x:f>
      </x:c>
    </x:row>
    <x:row r="78">
      <x:c r="A78" s="47"/>
      <x:c r="B78" s="49"/>
      <x:c r="C78" s="49"/>
      <x:c r="D78" s="36"/>
      <x:c r="E78" s="49"/>
      <x:c r="F78" s="51"/>
      <x:c r="G78" s="53"/>
      <x:c r="H78" s="53"/>
      <x:c r="I78" s="53" t="str">
        <x:f>IF(OR(F78="",G78=""),"",IF(F78&gt;0,G78*F78/100,G78*100/ABS(F78)))</x:f>
      </x:c>
      <x:c r="J78" s="53" t="str">
        <x:f>IF(H78="","",IF(H78="Win",I78,IF(H78="Loss",-G78,0)))</x:f>
      </x:c>
      <x:c r="K78" s="53" t="n">
        <x:f>IF(COUNTA(A$5:A78)=0,"",Dashboard!$B$5+SUM(J$5:J78))</x:f>
        <x:v>20.7</x:v>
      </x:c>
      <x:c r="L78" s="55" t="str">
        <x:f>IFERROR(J78/G78,"")</x:f>
      </x:c>
      <x:c r="M78" s="36"/>
      <x:c r="N78" s="57" t="str">
        <x:f>IF(A78="","",TEXT(A78,"mmm yyyy"))</x:f>
      </x:c>
    </x:row>
    <x:row r="79">
      <x:c r="A79" s="47"/>
      <x:c r="B79" s="49"/>
      <x:c r="C79" s="49"/>
      <x:c r="D79" s="36"/>
      <x:c r="E79" s="49"/>
      <x:c r="F79" s="51"/>
      <x:c r="G79" s="53"/>
      <x:c r="H79" s="53"/>
      <x:c r="I79" s="53" t="str">
        <x:f>IF(OR(F79="",G79=""),"",IF(F79&gt;0,G79*F79/100,G79*100/ABS(F79)))</x:f>
      </x:c>
      <x:c r="J79" s="53" t="str">
        <x:f>IF(H79="","",IF(H79="Win",I79,IF(H79="Loss",-G79,0)))</x:f>
      </x:c>
      <x:c r="K79" s="53" t="n">
        <x:f>IF(COUNTA(A$5:A79)=0,"",Dashboard!$B$5+SUM(J$5:J79))</x:f>
        <x:v>20.7</x:v>
      </x:c>
      <x:c r="L79" s="55" t="str">
        <x:f>IFERROR(J79/G79,"")</x:f>
      </x:c>
      <x:c r="M79" s="36"/>
      <x:c r="N79" s="57" t="str">
        <x:f>IF(A79="","",TEXT(A79,"mmm yyyy"))</x:f>
      </x:c>
    </x:row>
    <x:row r="80">
      <x:c r="A80" s="47"/>
      <x:c r="B80" s="49"/>
      <x:c r="C80" s="49"/>
      <x:c r="D80" s="36"/>
      <x:c r="E80" s="49"/>
      <x:c r="F80" s="51"/>
      <x:c r="G80" s="53"/>
      <x:c r="H80" s="53"/>
      <x:c r="I80" s="53" t="str">
        <x:f>IF(OR(F80="",G80=""),"",IF(F80&gt;0,G80*F80/100,G80*100/ABS(F80)))</x:f>
      </x:c>
      <x:c r="J80" s="53" t="str">
        <x:f>IF(H80="","",IF(H80="Win",I80,IF(H80="Loss",-G80,0)))</x:f>
      </x:c>
      <x:c r="K80" s="53" t="n">
        <x:f>IF(COUNTA(A$5:A80)=0,"",Dashboard!$B$5+SUM(J$5:J80))</x:f>
        <x:v>20.7</x:v>
      </x:c>
      <x:c r="L80" s="55" t="str">
        <x:f>IFERROR(J80/G80,"")</x:f>
      </x:c>
      <x:c r="M80" s="36"/>
      <x:c r="N80" s="57" t="str">
        <x:f>IF(A80="","",TEXT(A80,"mmm yyyy"))</x:f>
      </x:c>
    </x:row>
    <x:row r="81">
      <x:c r="A81" s="47"/>
      <x:c r="B81" s="49"/>
      <x:c r="C81" s="49"/>
      <x:c r="D81" s="36"/>
      <x:c r="E81" s="49"/>
      <x:c r="F81" s="51"/>
      <x:c r="G81" s="53"/>
      <x:c r="H81" s="53"/>
      <x:c r="I81" s="53" t="str">
        <x:f>IF(OR(F81="",G81=""),"",IF(F81&gt;0,G81*F81/100,G81*100/ABS(F81)))</x:f>
      </x:c>
      <x:c r="J81" s="53" t="str">
        <x:f>IF(H81="","",IF(H81="Win",I81,IF(H81="Loss",-G81,0)))</x:f>
      </x:c>
      <x:c r="K81" s="53" t="n">
        <x:f>IF(COUNTA(A$5:A81)=0,"",Dashboard!$B$5+SUM(J$5:J81))</x:f>
        <x:v>20.7</x:v>
      </x:c>
      <x:c r="L81" s="55" t="str">
        <x:f>IFERROR(J81/G81,"")</x:f>
      </x:c>
      <x:c r="M81" s="36"/>
      <x:c r="N81" s="57" t="str">
        <x:f>IF(A81="","",TEXT(A81,"mmm yyyy"))</x:f>
      </x:c>
    </x:row>
    <x:row r="82">
      <x:c r="A82" s="47"/>
      <x:c r="B82" s="49"/>
      <x:c r="C82" s="49"/>
      <x:c r="D82" s="36"/>
      <x:c r="E82" s="49"/>
      <x:c r="F82" s="51"/>
      <x:c r="G82" s="53"/>
      <x:c r="H82" s="53"/>
      <x:c r="I82" s="53" t="str">
        <x:f>IF(OR(F82="",G82=""),"",IF(F82&gt;0,G82*F82/100,G82*100/ABS(F82)))</x:f>
      </x:c>
      <x:c r="J82" s="53" t="str">
        <x:f>IF(H82="","",IF(H82="Win",I82,IF(H82="Loss",-G82,0)))</x:f>
      </x:c>
      <x:c r="K82" s="53" t="n">
        <x:f>IF(COUNTA(A$5:A82)=0,"",Dashboard!$B$5+SUM(J$5:J82))</x:f>
        <x:v>20.7</x:v>
      </x:c>
      <x:c r="L82" s="55" t="str">
        <x:f>IFERROR(J82/G82,"")</x:f>
      </x:c>
      <x:c r="M82" s="36"/>
      <x:c r="N82" s="57" t="str">
        <x:f>IF(A82="","",TEXT(A82,"mmm yyyy"))</x:f>
      </x:c>
    </x:row>
    <x:row r="83">
      <x:c r="A83" s="47"/>
      <x:c r="B83" s="49"/>
      <x:c r="C83" s="49"/>
      <x:c r="D83" s="36"/>
      <x:c r="E83" s="49"/>
      <x:c r="F83" s="51"/>
      <x:c r="G83" s="53"/>
      <x:c r="H83" s="53"/>
      <x:c r="I83" s="53" t="str">
        <x:f>IF(OR(F83="",G83=""),"",IF(F83&gt;0,G83*F83/100,G83*100/ABS(F83)))</x:f>
      </x:c>
      <x:c r="J83" s="53" t="str">
        <x:f>IF(H83="","",IF(H83="Win",I83,IF(H83="Loss",-G83,0)))</x:f>
      </x:c>
      <x:c r="K83" s="53" t="n">
        <x:f>IF(COUNTA(A$5:A83)=0,"",Dashboard!$B$5+SUM(J$5:J83))</x:f>
        <x:v>20.7</x:v>
      </x:c>
      <x:c r="L83" s="55" t="str">
        <x:f>IFERROR(J83/G83,"")</x:f>
      </x:c>
      <x:c r="M83" s="36"/>
      <x:c r="N83" s="57" t="str">
        <x:f>IF(A83="","",TEXT(A83,"mmm yyyy"))</x:f>
      </x:c>
    </x:row>
    <x:row r="84">
      <x:c r="A84" s="47"/>
      <x:c r="B84" s="49"/>
      <x:c r="C84" s="49"/>
      <x:c r="D84" s="36"/>
      <x:c r="E84" s="49"/>
      <x:c r="F84" s="51"/>
      <x:c r="G84" s="53"/>
      <x:c r="H84" s="53"/>
      <x:c r="I84" s="53" t="str">
        <x:f>IF(OR(F84="",G84=""),"",IF(F84&gt;0,G84*F84/100,G84*100/ABS(F84)))</x:f>
      </x:c>
      <x:c r="J84" s="53" t="str">
        <x:f>IF(H84="","",IF(H84="Win",I84,IF(H84="Loss",-G84,0)))</x:f>
      </x:c>
      <x:c r="K84" s="53" t="n">
        <x:f>IF(COUNTA(A$5:A84)=0,"",Dashboard!$B$5+SUM(J$5:J84))</x:f>
        <x:v>20.7</x:v>
      </x:c>
      <x:c r="L84" s="55" t="str">
        <x:f>IFERROR(J84/G84,"")</x:f>
      </x:c>
      <x:c r="M84" s="36"/>
      <x:c r="N84" s="57" t="str">
        <x:f>IF(A84="","",TEXT(A84,"mmm yyyy"))</x:f>
      </x:c>
    </x:row>
    <x:row r="85">
      <x:c r="A85" s="47"/>
      <x:c r="B85" s="49"/>
      <x:c r="C85" s="49"/>
      <x:c r="D85" s="36"/>
      <x:c r="E85" s="49"/>
      <x:c r="F85" s="51"/>
      <x:c r="G85" s="53"/>
      <x:c r="H85" s="53"/>
      <x:c r="I85" s="53" t="str">
        <x:f>IF(OR(F85="",G85=""),"",IF(F85&gt;0,G85*F85/100,G85*100/ABS(F85)))</x:f>
      </x:c>
      <x:c r="J85" s="53" t="str">
        <x:f>IF(H85="","",IF(H85="Win",I85,IF(H85="Loss",-G85,0)))</x:f>
      </x:c>
      <x:c r="K85" s="53" t="n">
        <x:f>IF(COUNTA(A$5:A85)=0,"",Dashboard!$B$5+SUM(J$5:J85))</x:f>
        <x:v>20.7</x:v>
      </x:c>
      <x:c r="L85" s="55" t="str">
        <x:f>IFERROR(J85/G85,"")</x:f>
      </x:c>
      <x:c r="M85" s="36"/>
      <x:c r="N85" s="57" t="str">
        <x:f>IF(A85="","",TEXT(A85,"mmm yyyy"))</x:f>
      </x:c>
    </x:row>
    <x:row r="86">
      <x:c r="A86" s="47"/>
      <x:c r="B86" s="49"/>
      <x:c r="C86" s="49"/>
      <x:c r="D86" s="36"/>
      <x:c r="E86" s="49"/>
      <x:c r="F86" s="51"/>
      <x:c r="G86" s="53"/>
      <x:c r="H86" s="53"/>
      <x:c r="I86" s="53" t="str">
        <x:f>IF(OR(F86="",G86=""),"",IF(F86&gt;0,G86*F86/100,G86*100/ABS(F86)))</x:f>
      </x:c>
      <x:c r="J86" s="53" t="str">
        <x:f>IF(H86="","",IF(H86="Win",I86,IF(H86="Loss",-G86,0)))</x:f>
      </x:c>
      <x:c r="K86" s="53" t="n">
        <x:f>IF(COUNTA(A$5:A86)=0,"",Dashboard!$B$5+SUM(J$5:J86))</x:f>
        <x:v>20.7</x:v>
      </x:c>
      <x:c r="L86" s="55" t="str">
        <x:f>IFERROR(J86/G86,"")</x:f>
      </x:c>
      <x:c r="M86" s="36"/>
      <x:c r="N86" s="57" t="str">
        <x:f>IF(A86="","",TEXT(A86,"mmm yyyy"))</x:f>
      </x:c>
    </x:row>
    <x:row r="87">
      <x:c r="A87" s="47"/>
      <x:c r="B87" s="49"/>
      <x:c r="C87" s="49"/>
      <x:c r="D87" s="36"/>
      <x:c r="E87" s="49"/>
      <x:c r="F87" s="51"/>
      <x:c r="G87" s="53"/>
      <x:c r="H87" s="53"/>
      <x:c r="I87" s="53" t="str">
        <x:f>IF(OR(F87="",G87=""),"",IF(F87&gt;0,G87*F87/100,G87*100/ABS(F87)))</x:f>
      </x:c>
      <x:c r="J87" s="53" t="str">
        <x:f>IF(H87="","",IF(H87="Win",I87,IF(H87="Loss",-G87,0)))</x:f>
      </x:c>
      <x:c r="K87" s="53" t="n">
        <x:f>IF(COUNTA(A$5:A87)=0,"",Dashboard!$B$5+SUM(J$5:J87))</x:f>
        <x:v>20.7</x:v>
      </x:c>
      <x:c r="L87" s="55" t="str">
        <x:f>IFERROR(J87/G87,"")</x:f>
      </x:c>
      <x:c r="M87" s="36"/>
      <x:c r="N87" s="57" t="str">
        <x:f>IF(A87="","",TEXT(A87,"mmm yyyy"))</x:f>
      </x:c>
    </x:row>
    <x:row r="88">
      <x:c r="A88" s="47"/>
      <x:c r="B88" s="49"/>
      <x:c r="C88" s="49"/>
      <x:c r="D88" s="36"/>
      <x:c r="E88" s="49"/>
      <x:c r="F88" s="51"/>
      <x:c r="G88" s="53"/>
      <x:c r="H88" s="53"/>
      <x:c r="I88" s="53" t="str">
        <x:f>IF(OR(F88="",G88=""),"",IF(F88&gt;0,G88*F88/100,G88*100/ABS(F88)))</x:f>
      </x:c>
      <x:c r="J88" s="53" t="str">
        <x:f>IF(H88="","",IF(H88="Win",I88,IF(H88="Loss",-G88,0)))</x:f>
      </x:c>
      <x:c r="K88" s="53" t="n">
        <x:f>IF(COUNTA(A$5:A88)=0,"",Dashboard!$B$5+SUM(J$5:J88))</x:f>
        <x:v>20.7</x:v>
      </x:c>
      <x:c r="L88" s="55" t="str">
        <x:f>IFERROR(J88/G88,"")</x:f>
      </x:c>
      <x:c r="M88" s="36"/>
      <x:c r="N88" s="57" t="str">
        <x:f>IF(A88="","",TEXT(A88,"mmm yyyy"))</x:f>
      </x:c>
    </x:row>
    <x:row r="89">
      <x:c r="A89" s="47"/>
      <x:c r="B89" s="49"/>
      <x:c r="C89" s="49"/>
      <x:c r="D89" s="36"/>
      <x:c r="E89" s="49"/>
      <x:c r="F89" s="51"/>
      <x:c r="G89" s="53"/>
      <x:c r="H89" s="53"/>
      <x:c r="I89" s="53" t="str">
        <x:f>IF(OR(F89="",G89=""),"",IF(F89&gt;0,G89*F89/100,G89*100/ABS(F89)))</x:f>
      </x:c>
      <x:c r="J89" s="53" t="str">
        <x:f>IF(H89="","",IF(H89="Win",I89,IF(H89="Loss",-G89,0)))</x:f>
      </x:c>
      <x:c r="K89" s="53" t="n">
        <x:f>IF(COUNTA(A$5:A89)=0,"",Dashboard!$B$5+SUM(J$5:J89))</x:f>
        <x:v>20.7</x:v>
      </x:c>
      <x:c r="L89" s="55" t="str">
        <x:f>IFERROR(J89/G89,"")</x:f>
      </x:c>
      <x:c r="M89" s="36"/>
      <x:c r="N89" s="57" t="str">
        <x:f>IF(A89="","",TEXT(A89,"mmm yyyy"))</x:f>
      </x:c>
    </x:row>
    <x:row r="90">
      <x:c r="A90" s="47"/>
      <x:c r="B90" s="49"/>
      <x:c r="C90" s="49"/>
      <x:c r="D90" s="36"/>
      <x:c r="E90" s="49"/>
      <x:c r="F90" s="51"/>
      <x:c r="G90" s="53"/>
      <x:c r="H90" s="53"/>
      <x:c r="I90" s="53" t="str">
        <x:f>IF(OR(F90="",G90=""),"",IF(F90&gt;0,G90*F90/100,G90*100/ABS(F90)))</x:f>
      </x:c>
      <x:c r="J90" s="53" t="str">
        <x:f>IF(H90="","",IF(H90="Win",I90,IF(H90="Loss",-G90,0)))</x:f>
      </x:c>
      <x:c r="K90" s="53" t="n">
        <x:f>IF(COUNTA(A$5:A90)=0,"",Dashboard!$B$5+SUM(J$5:J90))</x:f>
        <x:v>20.7</x:v>
      </x:c>
      <x:c r="L90" s="55" t="str">
        <x:f>IFERROR(J90/G90,"")</x:f>
      </x:c>
      <x:c r="M90" s="36"/>
      <x:c r="N90" s="57" t="str">
        <x:f>IF(A90="","",TEXT(A90,"mmm yyyy"))</x:f>
      </x:c>
    </x:row>
    <x:row r="91">
      <x:c r="A91" s="47"/>
      <x:c r="B91" s="49"/>
      <x:c r="C91" s="49"/>
      <x:c r="D91" s="36"/>
      <x:c r="E91" s="49"/>
      <x:c r="F91" s="51"/>
      <x:c r="G91" s="53"/>
      <x:c r="H91" s="53"/>
      <x:c r="I91" s="53" t="str">
        <x:f>IF(OR(F91="",G91=""),"",IF(F91&gt;0,G91*F91/100,G91*100/ABS(F91)))</x:f>
      </x:c>
      <x:c r="J91" s="53" t="str">
        <x:f>IF(H91="","",IF(H91="Win",I91,IF(H91="Loss",-G91,0)))</x:f>
      </x:c>
      <x:c r="K91" s="53" t="n">
        <x:f>IF(COUNTA(A$5:A91)=0,"",Dashboard!$B$5+SUM(J$5:J91))</x:f>
        <x:v>20.7</x:v>
      </x:c>
      <x:c r="L91" s="55" t="str">
        <x:f>IFERROR(J91/G91,"")</x:f>
      </x:c>
      <x:c r="M91" s="36"/>
      <x:c r="N91" s="57" t="str">
        <x:f>IF(A91="","",TEXT(A91,"mmm yyyy"))</x:f>
      </x:c>
    </x:row>
    <x:row r="92">
      <x:c r="A92" s="47"/>
      <x:c r="B92" s="49"/>
      <x:c r="C92" s="49"/>
      <x:c r="D92" s="36"/>
      <x:c r="E92" s="49"/>
      <x:c r="F92" s="51"/>
      <x:c r="G92" s="53"/>
      <x:c r="H92" s="53"/>
      <x:c r="I92" s="53" t="str">
        <x:f>IF(OR(F92="",G92=""),"",IF(F92&gt;0,G92*F92/100,G92*100/ABS(F92)))</x:f>
      </x:c>
      <x:c r="J92" s="53" t="str">
        <x:f>IF(H92="","",IF(H92="Win",I92,IF(H92="Loss",-G92,0)))</x:f>
      </x:c>
      <x:c r="K92" s="53" t="n">
        <x:f>IF(COUNTA(A$5:A92)=0,"",Dashboard!$B$5+SUM(J$5:J92))</x:f>
        <x:v>20.7</x:v>
      </x:c>
      <x:c r="L92" s="55" t="str">
        <x:f>IFERROR(J92/G92,"")</x:f>
      </x:c>
      <x:c r="M92" s="36"/>
      <x:c r="N92" s="57" t="str">
        <x:f>IF(A92="","",TEXT(A92,"mmm yyyy"))</x:f>
      </x:c>
    </x:row>
    <x:row r="93">
      <x:c r="A93" s="47"/>
      <x:c r="B93" s="49"/>
      <x:c r="C93" s="49"/>
      <x:c r="D93" s="36"/>
      <x:c r="E93" s="49"/>
      <x:c r="F93" s="51"/>
      <x:c r="G93" s="53"/>
      <x:c r="H93" s="53"/>
      <x:c r="I93" s="53" t="str">
        <x:f>IF(OR(F93="",G93=""),"",IF(F93&gt;0,G93*F93/100,G93*100/ABS(F93)))</x:f>
      </x:c>
      <x:c r="J93" s="53" t="str">
        <x:f>IF(H93="","",IF(H93="Win",I93,IF(H93="Loss",-G93,0)))</x:f>
      </x:c>
      <x:c r="K93" s="53" t="n">
        <x:f>IF(COUNTA(A$5:A93)=0,"",Dashboard!$B$5+SUM(J$5:J93))</x:f>
        <x:v>20.7</x:v>
      </x:c>
      <x:c r="L93" s="55" t="str">
        <x:f>IFERROR(J93/G93,"")</x:f>
      </x:c>
      <x:c r="M93" s="36"/>
      <x:c r="N93" s="57" t="str">
        <x:f>IF(A93="","",TEXT(A93,"mmm yyyy"))</x:f>
      </x:c>
    </x:row>
    <x:row r="94">
      <x:c r="A94" s="47"/>
      <x:c r="B94" s="49"/>
      <x:c r="C94" s="49"/>
      <x:c r="D94" s="36"/>
      <x:c r="E94" s="49"/>
      <x:c r="F94" s="51"/>
      <x:c r="G94" s="53"/>
      <x:c r="H94" s="53"/>
      <x:c r="I94" s="53" t="str">
        <x:f>IF(OR(F94="",G94=""),"",IF(F94&gt;0,G94*F94/100,G94*100/ABS(F94)))</x:f>
      </x:c>
      <x:c r="J94" s="53" t="str">
        <x:f>IF(H94="","",IF(H94="Win",I94,IF(H94="Loss",-G94,0)))</x:f>
      </x:c>
      <x:c r="K94" s="53" t="n">
        <x:f>IF(COUNTA(A$5:A94)=0,"",Dashboard!$B$5+SUM(J$5:J94))</x:f>
        <x:v>20.7</x:v>
      </x:c>
      <x:c r="L94" s="55" t="str">
        <x:f>IFERROR(J94/G94,"")</x:f>
      </x:c>
      <x:c r="M94" s="36"/>
      <x:c r="N94" s="57" t="str">
        <x:f>IF(A94="","",TEXT(A94,"mmm yyyy"))</x:f>
      </x:c>
    </x:row>
    <x:row r="95">
      <x:c r="A95" s="47"/>
      <x:c r="B95" s="49"/>
      <x:c r="C95" s="49"/>
      <x:c r="D95" s="36"/>
      <x:c r="E95" s="49"/>
      <x:c r="F95" s="51"/>
      <x:c r="G95" s="53"/>
      <x:c r="H95" s="53"/>
      <x:c r="I95" s="53" t="str">
        <x:f>IF(OR(F95="",G95=""),"",IF(F95&gt;0,G95*F95/100,G95*100/ABS(F95)))</x:f>
      </x:c>
      <x:c r="J95" s="53" t="str">
        <x:f>IF(H95="","",IF(H95="Win",I95,IF(H95="Loss",-G95,0)))</x:f>
      </x:c>
      <x:c r="K95" s="53" t="n">
        <x:f>IF(COUNTA(A$5:A95)=0,"",Dashboard!$B$5+SUM(J$5:J95))</x:f>
        <x:v>20.7</x:v>
      </x:c>
      <x:c r="L95" s="55" t="str">
        <x:f>IFERROR(J95/G95,"")</x:f>
      </x:c>
      <x:c r="M95" s="36"/>
      <x:c r="N95" s="57" t="str">
        <x:f>IF(A95="","",TEXT(A95,"mmm yyyy"))</x:f>
      </x:c>
    </x:row>
    <x:row r="96">
      <x:c r="A96" s="47"/>
      <x:c r="B96" s="49"/>
      <x:c r="C96" s="49"/>
      <x:c r="D96" s="36"/>
      <x:c r="E96" s="49"/>
      <x:c r="F96" s="51"/>
      <x:c r="G96" s="53"/>
      <x:c r="H96" s="53"/>
      <x:c r="I96" s="53" t="str">
        <x:f>IF(OR(F96="",G96=""),"",IF(F96&gt;0,G96*F96/100,G96*100/ABS(F96)))</x:f>
      </x:c>
      <x:c r="J96" s="53" t="str">
        <x:f>IF(H96="","",IF(H96="Win",I96,IF(H96="Loss",-G96,0)))</x:f>
      </x:c>
      <x:c r="K96" s="53" t="n">
        <x:f>IF(COUNTA(A$5:A96)=0,"",Dashboard!$B$5+SUM(J$5:J96))</x:f>
        <x:v>20.7</x:v>
      </x:c>
      <x:c r="L96" s="55" t="str">
        <x:f>IFERROR(J96/G96,"")</x:f>
      </x:c>
      <x:c r="M96" s="36"/>
      <x:c r="N96" s="57" t="str">
        <x:f>IF(A96="","",TEXT(A96,"mmm yyyy"))</x:f>
      </x:c>
    </x:row>
    <x:row r="97">
      <x:c r="A97" s="47"/>
      <x:c r="B97" s="49"/>
      <x:c r="C97" s="49"/>
      <x:c r="D97" s="36"/>
      <x:c r="E97" s="49"/>
      <x:c r="F97" s="51"/>
      <x:c r="G97" s="53"/>
      <x:c r="H97" s="53"/>
      <x:c r="I97" s="53" t="str">
        <x:f>IF(OR(F97="",G97=""),"",IF(F97&gt;0,G97*F97/100,G97*100/ABS(F97)))</x:f>
      </x:c>
      <x:c r="J97" s="53" t="str">
        <x:f>IF(H97="","",IF(H97="Win",I97,IF(H97="Loss",-G97,0)))</x:f>
      </x:c>
      <x:c r="K97" s="53" t="n">
        <x:f>IF(COUNTA(A$5:A97)=0,"",Dashboard!$B$5+SUM(J$5:J97))</x:f>
        <x:v>20.7</x:v>
      </x:c>
      <x:c r="L97" s="55" t="str">
        <x:f>IFERROR(J97/G97,"")</x:f>
      </x:c>
      <x:c r="M97" s="36"/>
      <x:c r="N97" s="57" t="str">
        <x:f>IF(A97="","",TEXT(A97,"mmm yyyy"))</x:f>
      </x:c>
    </x:row>
    <x:row r="98">
      <x:c r="A98" s="47"/>
      <x:c r="B98" s="49"/>
      <x:c r="C98" s="49"/>
      <x:c r="D98" s="36"/>
      <x:c r="E98" s="49"/>
      <x:c r="F98" s="51"/>
      <x:c r="G98" s="53"/>
      <x:c r="H98" s="53"/>
      <x:c r="I98" s="53" t="str">
        <x:f>IF(OR(F98="",G98=""),"",IF(F98&gt;0,G98*F98/100,G98*100/ABS(F98)))</x:f>
      </x:c>
      <x:c r="J98" s="53" t="str">
        <x:f>IF(H98="","",IF(H98="Win",I98,IF(H98="Loss",-G98,0)))</x:f>
      </x:c>
      <x:c r="K98" s="53" t="n">
        <x:f>IF(COUNTA(A$5:A98)=0,"",Dashboard!$B$5+SUM(J$5:J98))</x:f>
        <x:v>20.7</x:v>
      </x:c>
      <x:c r="L98" s="55" t="str">
        <x:f>IFERROR(J98/G98,"")</x:f>
      </x:c>
      <x:c r="M98" s="36"/>
      <x:c r="N98" s="57" t="str">
        <x:f>IF(A98="","",TEXT(A98,"mmm yyyy"))</x:f>
      </x:c>
    </x:row>
    <x:row r="99">
      <x:c r="A99" s="47"/>
      <x:c r="B99" s="49"/>
      <x:c r="C99" s="49"/>
      <x:c r="D99" s="36"/>
      <x:c r="E99" s="49"/>
      <x:c r="F99" s="51"/>
      <x:c r="G99" s="53"/>
      <x:c r="H99" s="53"/>
      <x:c r="I99" s="53" t="str">
        <x:f>IF(OR(F99="",G99=""),"",IF(F99&gt;0,G99*F99/100,G99*100/ABS(F99)))</x:f>
      </x:c>
      <x:c r="J99" s="53" t="str">
        <x:f>IF(H99="","",IF(H99="Win",I99,IF(H99="Loss",-G99,0)))</x:f>
      </x:c>
      <x:c r="K99" s="53" t="n">
        <x:f>IF(COUNTA(A$5:A99)=0,"",Dashboard!$B$5+SUM(J$5:J99))</x:f>
        <x:v>20.7</x:v>
      </x:c>
      <x:c r="L99" s="55" t="str">
        <x:f>IFERROR(J99/G99,"")</x:f>
      </x:c>
      <x:c r="M99" s="36"/>
      <x:c r="N99" s="57" t="str">
        <x:f>IF(A99="","",TEXT(A99,"mmm yyyy"))</x:f>
      </x:c>
    </x:row>
    <x:row r="100">
      <x:c r="A100" s="47"/>
      <x:c r="B100" s="49"/>
      <x:c r="C100" s="49"/>
      <x:c r="D100" s="36"/>
      <x:c r="E100" s="49"/>
      <x:c r="F100" s="51"/>
      <x:c r="G100" s="53"/>
      <x:c r="H100" s="53"/>
      <x:c r="I100" s="53" t="str">
        <x:f>IF(OR(F100="",G100=""),"",IF(F100&gt;0,G100*F100/100,G100*100/ABS(F100)))</x:f>
      </x:c>
      <x:c r="J100" s="53" t="str">
        <x:f>IF(H100="","",IF(H100="Win",I100,IF(H100="Loss",-G100,0)))</x:f>
      </x:c>
      <x:c r="K100" s="53" t="n">
        <x:f>IF(COUNTA(A$5:A100)=0,"",Dashboard!$B$5+SUM(J$5:J100))</x:f>
        <x:v>20.7</x:v>
      </x:c>
      <x:c r="L100" s="55" t="str">
        <x:f>IFERROR(J100/G100,"")</x:f>
      </x:c>
      <x:c r="M100" s="36"/>
      <x:c r="N100" s="57" t="str">
        <x:f>IF(A100="","",TEXT(A100,"mmm yyyy"))</x:f>
      </x:c>
    </x:row>
    <x:row r="101">
      <x:c r="A101" s="47"/>
      <x:c r="B101" s="49"/>
      <x:c r="C101" s="49"/>
      <x:c r="D101" s="36"/>
      <x:c r="E101" s="49"/>
      <x:c r="F101" s="51"/>
      <x:c r="G101" s="53"/>
      <x:c r="H101" s="53"/>
      <x:c r="I101" s="53" t="str">
        <x:f>IF(OR(F101="",G101=""),"",IF(F101&gt;0,G101*F101/100,G101*100/ABS(F101)))</x:f>
      </x:c>
      <x:c r="J101" s="53" t="str">
        <x:f>IF(H101="","",IF(H101="Win",I101,IF(H101="Loss",-G101,0)))</x:f>
      </x:c>
      <x:c r="K101" s="53" t="n">
        <x:f>IF(COUNTA(A$5:A101)=0,"",Dashboard!$B$5+SUM(J$5:J101))</x:f>
        <x:v>20.7</x:v>
      </x:c>
      <x:c r="L101" s="55" t="str">
        <x:f>IFERROR(J101/G101,"")</x:f>
      </x:c>
      <x:c r="M101" s="36"/>
      <x:c r="N101" s="57" t="str">
        <x:f>IF(A101="","",TEXT(A101,"mmm yyyy"))</x:f>
      </x:c>
    </x:row>
    <x:row r="102">
      <x:c r="A102" s="47"/>
      <x:c r="B102" s="49"/>
      <x:c r="C102" s="49"/>
      <x:c r="D102" s="36"/>
      <x:c r="E102" s="49"/>
      <x:c r="F102" s="51"/>
      <x:c r="G102" s="53"/>
      <x:c r="H102" s="53"/>
      <x:c r="I102" s="53" t="str">
        <x:f>IF(OR(F102="",G102=""),"",IF(F102&gt;0,G102*F102/100,G102*100/ABS(F102)))</x:f>
      </x:c>
      <x:c r="J102" s="53" t="str">
        <x:f>IF(H102="","",IF(H102="Win",I102,IF(H102="Loss",-G102,0)))</x:f>
      </x:c>
      <x:c r="K102" s="53" t="n">
        <x:f>IF(COUNTA(A$5:A102)=0,"",Dashboard!$B$5+SUM(J$5:J102))</x:f>
        <x:v>20.7</x:v>
      </x:c>
      <x:c r="L102" s="55" t="str">
        <x:f>IFERROR(J102/G102,"")</x:f>
      </x:c>
      <x:c r="M102" s="36"/>
      <x:c r="N102" s="57" t="str">
        <x:f>IF(A102="","",TEXT(A102,"mmm yyyy"))</x:f>
      </x:c>
    </x:row>
    <x:row r="103">
      <x:c r="A103" s="47"/>
      <x:c r="B103" s="49"/>
      <x:c r="C103" s="49"/>
      <x:c r="D103" s="36"/>
      <x:c r="E103" s="49"/>
      <x:c r="F103" s="51"/>
      <x:c r="G103" s="53"/>
      <x:c r="H103" s="53"/>
      <x:c r="I103" s="53" t="str">
        <x:f>IF(OR(F103="",G103=""),"",IF(F103&gt;0,G103*F103/100,G103*100/ABS(F103)))</x:f>
      </x:c>
      <x:c r="J103" s="53" t="str">
        <x:f>IF(H103="","",IF(H103="Win",I103,IF(H103="Loss",-G103,0)))</x:f>
      </x:c>
      <x:c r="K103" s="53" t="n">
        <x:f>IF(COUNTA(A$5:A103)=0,"",Dashboard!$B$5+SUM(J$5:J103))</x:f>
        <x:v>20.7</x:v>
      </x:c>
      <x:c r="L103" s="55" t="str">
        <x:f>IFERROR(J103/G103,"")</x:f>
      </x:c>
      <x:c r="M103" s="36"/>
      <x:c r="N103" s="57" t="str">
        <x:f>IF(A103="","",TEXT(A103,"mmm yyyy"))</x:f>
      </x:c>
    </x:row>
    <x:row r="104">
      <x:c r="A104" s="47"/>
      <x:c r="B104" s="49"/>
      <x:c r="C104" s="49"/>
      <x:c r="D104" s="36"/>
      <x:c r="E104" s="49"/>
      <x:c r="F104" s="51"/>
      <x:c r="G104" s="53"/>
      <x:c r="H104" s="53"/>
      <x:c r="I104" s="53" t="str">
        <x:f>IF(OR(F104="",G104=""),"",IF(F104&gt;0,G104*F104/100,G104*100/ABS(F104)))</x:f>
      </x:c>
      <x:c r="J104" s="53" t="str">
        <x:f>IF(H104="","",IF(H104="Win",I104,IF(H104="Loss",-G104,0)))</x:f>
      </x:c>
      <x:c r="K104" s="53" t="n">
        <x:f>IF(COUNTA(A$5:A104)=0,"",Dashboard!$B$5+SUM(J$5:J104))</x:f>
        <x:v>20.7</x:v>
      </x:c>
      <x:c r="L104" s="55" t="str">
        <x:f>IFERROR(J104/G104,"")</x:f>
      </x:c>
      <x:c r="M104" s="36"/>
      <x:c r="N104" s="57" t="str">
        <x:f>IF(A104="","",TEXT(A104,"mmm yyyy"))</x:f>
      </x:c>
    </x:row>
    <x:row r="105">
      <x:c r="A105" s="47"/>
      <x:c r="B105" s="49"/>
      <x:c r="C105" s="49"/>
      <x:c r="D105" s="36"/>
      <x:c r="E105" s="49"/>
      <x:c r="F105" s="51"/>
      <x:c r="G105" s="53"/>
      <x:c r="H105" s="53"/>
      <x:c r="I105" s="53" t="str">
        <x:f>IF(OR(F105="",G105=""),"",IF(F105&gt;0,G105*F105/100,G105*100/ABS(F105)))</x:f>
      </x:c>
      <x:c r="J105" s="53" t="str">
        <x:f>IF(H105="","",IF(H105="Win",I105,IF(H105="Loss",-G105,0)))</x:f>
      </x:c>
      <x:c r="K105" s="53" t="n">
        <x:f>IF(COUNTA(A$5:A105)=0,"",Dashboard!$B$5+SUM(J$5:J105))</x:f>
        <x:v>20.7</x:v>
      </x:c>
      <x:c r="L105" s="55" t="str">
        <x:f>IFERROR(J105/G105,"")</x:f>
      </x:c>
      <x:c r="M105" s="36"/>
      <x:c r="N105" s="57" t="str">
        <x:f>IF(A105="","",TEXT(A105,"mmm yyyy"))</x:f>
      </x:c>
    </x:row>
    <x:row r="106">
      <x:c r="A106" s="47"/>
      <x:c r="B106" s="49"/>
      <x:c r="C106" s="49"/>
      <x:c r="D106" s="36"/>
      <x:c r="E106" s="49"/>
      <x:c r="F106" s="51"/>
      <x:c r="G106" s="53"/>
      <x:c r="H106" s="53"/>
      <x:c r="I106" s="53" t="str">
        <x:f>IF(OR(F106="",G106=""),"",IF(F106&gt;0,G106*F106/100,G106*100/ABS(F106)))</x:f>
      </x:c>
      <x:c r="J106" s="53" t="str">
        <x:f>IF(H106="","",IF(H106="Win",I106,IF(H106="Loss",-G106,0)))</x:f>
      </x:c>
      <x:c r="K106" s="53" t="n">
        <x:f>IF(COUNTA(A$5:A106)=0,"",Dashboard!$B$5+SUM(J$5:J106))</x:f>
        <x:v>20.7</x:v>
      </x:c>
      <x:c r="L106" s="55" t="str">
        <x:f>IFERROR(J106/G106,"")</x:f>
      </x:c>
      <x:c r="M106" s="36"/>
      <x:c r="N106" s="57" t="str">
        <x:f>IF(A106="","",TEXT(A106,"mmm yyyy"))</x:f>
      </x:c>
    </x:row>
    <x:row r="107">
      <x:c r="A107" s="47"/>
      <x:c r="B107" s="49"/>
      <x:c r="C107" s="49"/>
      <x:c r="D107" s="36"/>
      <x:c r="E107" s="49"/>
      <x:c r="F107" s="51"/>
      <x:c r="G107" s="53"/>
      <x:c r="H107" s="53"/>
      <x:c r="I107" s="53" t="str">
        <x:f>IF(OR(F107="",G107=""),"",IF(F107&gt;0,G107*F107/100,G107*100/ABS(F107)))</x:f>
      </x:c>
      <x:c r="J107" s="53" t="str">
        <x:f>IF(H107="","",IF(H107="Win",I107,IF(H107="Loss",-G107,0)))</x:f>
      </x:c>
      <x:c r="K107" s="53" t="n">
        <x:f>IF(COUNTA(A$5:A107)=0,"",Dashboard!$B$5+SUM(J$5:J107))</x:f>
        <x:v>20.7</x:v>
      </x:c>
      <x:c r="L107" s="55" t="str">
        <x:f>IFERROR(J107/G107,"")</x:f>
      </x:c>
      <x:c r="M107" s="36"/>
      <x:c r="N107" s="57" t="str">
        <x:f>IF(A107="","",TEXT(A107,"mmm yyyy"))</x:f>
      </x:c>
    </x:row>
    <x:row r="108">
      <x:c r="A108" s="47"/>
      <x:c r="B108" s="49"/>
      <x:c r="C108" s="49"/>
      <x:c r="D108" s="36"/>
      <x:c r="E108" s="49"/>
      <x:c r="F108" s="51"/>
      <x:c r="G108" s="53"/>
      <x:c r="H108" s="53"/>
      <x:c r="I108" s="53" t="str">
        <x:f>IF(OR(F108="",G108=""),"",IF(F108&gt;0,G108*F108/100,G108*100/ABS(F108)))</x:f>
      </x:c>
      <x:c r="J108" s="53" t="str">
        <x:f>IF(H108="","",IF(H108="Win",I108,IF(H108="Loss",-G108,0)))</x:f>
      </x:c>
      <x:c r="K108" s="53" t="n">
        <x:f>IF(COUNTA(A$5:A108)=0,"",Dashboard!$B$5+SUM(J$5:J108))</x:f>
        <x:v>20.7</x:v>
      </x:c>
      <x:c r="L108" s="55" t="str">
        <x:f>IFERROR(J108/G108,"")</x:f>
      </x:c>
      <x:c r="M108" s="36"/>
      <x:c r="N108" s="57" t="str">
        <x:f>IF(A108="","",TEXT(A108,"mmm yyyy"))</x:f>
      </x:c>
    </x:row>
    <x:row r="109">
      <x:c r="A109" s="47"/>
      <x:c r="B109" s="49"/>
      <x:c r="C109" s="49"/>
      <x:c r="D109" s="36"/>
      <x:c r="E109" s="49"/>
      <x:c r="F109" s="51"/>
      <x:c r="G109" s="53"/>
      <x:c r="H109" s="53"/>
      <x:c r="I109" s="53" t="str">
        <x:f>IF(OR(F109="",G109=""),"",IF(F109&gt;0,G109*F109/100,G109*100/ABS(F109)))</x:f>
      </x:c>
      <x:c r="J109" s="53" t="str">
        <x:f>IF(H109="","",IF(H109="Win",I109,IF(H109="Loss",-G109,0)))</x:f>
      </x:c>
      <x:c r="K109" s="53" t="n">
        <x:f>IF(COUNTA(A$5:A109)=0,"",Dashboard!$B$5+SUM(J$5:J109))</x:f>
        <x:v>20.7</x:v>
      </x:c>
      <x:c r="L109" s="55" t="str">
        <x:f>IFERROR(J109/G109,"")</x:f>
      </x:c>
      <x:c r="M109" s="36"/>
      <x:c r="N109" s="57" t="str">
        <x:f>IF(A109="","",TEXT(A109,"mmm yyyy"))</x:f>
      </x:c>
    </x:row>
    <x:row r="110">
      <x:c r="A110" s="47"/>
      <x:c r="B110" s="49"/>
      <x:c r="C110" s="49"/>
      <x:c r="D110" s="36"/>
      <x:c r="E110" s="49"/>
      <x:c r="F110" s="51"/>
      <x:c r="G110" s="53"/>
      <x:c r="H110" s="53"/>
      <x:c r="I110" s="53" t="str">
        <x:f>IF(OR(F110="",G110=""),"",IF(F110&gt;0,G110*F110/100,G110*100/ABS(F110)))</x:f>
      </x:c>
      <x:c r="J110" s="53" t="str">
        <x:f>IF(H110="","",IF(H110="Win",I110,IF(H110="Loss",-G110,0)))</x:f>
      </x:c>
      <x:c r="K110" s="53" t="n">
        <x:f>IF(COUNTA(A$5:A110)=0,"",Dashboard!$B$5+SUM(J$5:J110))</x:f>
        <x:v>20.7</x:v>
      </x:c>
      <x:c r="L110" s="55" t="str">
        <x:f>IFERROR(J110/G110,"")</x:f>
      </x:c>
      <x:c r="M110" s="36"/>
      <x:c r="N110" s="57" t="str">
        <x:f>IF(A110="","",TEXT(A110,"mmm yyyy"))</x:f>
      </x:c>
    </x:row>
    <x:row r="111">
      <x:c r="A111" s="47"/>
      <x:c r="B111" s="49"/>
      <x:c r="C111" s="49"/>
      <x:c r="D111" s="36"/>
      <x:c r="E111" s="49"/>
      <x:c r="F111" s="51"/>
      <x:c r="G111" s="53"/>
      <x:c r="H111" s="53"/>
      <x:c r="I111" s="53" t="str">
        <x:f>IF(OR(F111="",G111=""),"",IF(F111&gt;0,G111*F111/100,G111*100/ABS(F111)))</x:f>
      </x:c>
      <x:c r="J111" s="53" t="str">
        <x:f>IF(H111="","",IF(H111="Win",I111,IF(H111="Loss",-G111,0)))</x:f>
      </x:c>
      <x:c r="K111" s="53" t="n">
        <x:f>IF(COUNTA(A$5:A111)=0,"",Dashboard!$B$5+SUM(J$5:J111))</x:f>
        <x:v>20.7</x:v>
      </x:c>
      <x:c r="L111" s="55" t="str">
        <x:f>IFERROR(J111/G111,"")</x:f>
      </x:c>
      <x:c r="M111" s="36"/>
      <x:c r="N111" s="57" t="str">
        <x:f>IF(A111="","",TEXT(A111,"mmm yyyy"))</x:f>
      </x:c>
    </x:row>
    <x:row r="112">
      <x:c r="A112" s="47"/>
      <x:c r="B112" s="49"/>
      <x:c r="C112" s="49"/>
      <x:c r="D112" s="36"/>
      <x:c r="E112" s="49"/>
      <x:c r="F112" s="51"/>
      <x:c r="G112" s="53"/>
      <x:c r="H112" s="53"/>
      <x:c r="I112" s="53" t="str">
        <x:f>IF(OR(F112="",G112=""),"",IF(F112&gt;0,G112*F112/100,G112*100/ABS(F112)))</x:f>
      </x:c>
      <x:c r="J112" s="53" t="str">
        <x:f>IF(H112="","",IF(H112="Win",I112,IF(H112="Loss",-G112,0)))</x:f>
      </x:c>
      <x:c r="K112" s="53" t="n">
        <x:f>IF(COUNTA(A$5:A112)=0,"",Dashboard!$B$5+SUM(J$5:J112))</x:f>
        <x:v>20.7</x:v>
      </x:c>
      <x:c r="L112" s="55" t="str">
        <x:f>IFERROR(J112/G112,"")</x:f>
      </x:c>
      <x:c r="M112" s="36"/>
      <x:c r="N112" s="57" t="str">
        <x:f>IF(A112="","",TEXT(A112,"mmm yyyy"))</x:f>
      </x:c>
    </x:row>
    <x:row r="113">
      <x:c r="A113" s="47"/>
      <x:c r="B113" s="49"/>
      <x:c r="C113" s="49"/>
      <x:c r="D113" s="36"/>
      <x:c r="E113" s="49"/>
      <x:c r="F113" s="51"/>
      <x:c r="G113" s="53"/>
      <x:c r="H113" s="53"/>
      <x:c r="I113" s="53" t="str">
        <x:f>IF(OR(F113="",G113=""),"",IF(F113&gt;0,G113*F113/100,G113*100/ABS(F113)))</x:f>
      </x:c>
      <x:c r="J113" s="53" t="str">
        <x:f>IF(H113="","",IF(H113="Win",I113,IF(H113="Loss",-G113,0)))</x:f>
      </x:c>
      <x:c r="K113" s="53" t="n">
        <x:f>IF(COUNTA(A$5:A113)=0,"",Dashboard!$B$5+SUM(J$5:J113))</x:f>
        <x:v>20.7</x:v>
      </x:c>
      <x:c r="L113" s="55" t="str">
        <x:f>IFERROR(J113/G113,"")</x:f>
      </x:c>
      <x:c r="M113" s="36"/>
      <x:c r="N113" s="57" t="str">
        <x:f>IF(A113="","",TEXT(A113,"mmm yyyy"))</x:f>
      </x:c>
    </x:row>
    <x:row r="114">
      <x:c r="A114" s="47"/>
      <x:c r="B114" s="49"/>
      <x:c r="C114" s="49"/>
      <x:c r="D114" s="36"/>
      <x:c r="E114" s="49"/>
      <x:c r="F114" s="51"/>
      <x:c r="G114" s="53"/>
      <x:c r="H114" s="53"/>
      <x:c r="I114" s="53" t="str">
        <x:f>IF(OR(F114="",G114=""),"",IF(F114&gt;0,G114*F114/100,G114*100/ABS(F114)))</x:f>
      </x:c>
      <x:c r="J114" s="53" t="str">
        <x:f>IF(H114="","",IF(H114="Win",I114,IF(H114="Loss",-G114,0)))</x:f>
      </x:c>
      <x:c r="K114" s="53" t="n">
        <x:f>IF(COUNTA(A$5:A114)=0,"",Dashboard!$B$5+SUM(J$5:J114))</x:f>
        <x:v>20.7</x:v>
      </x:c>
      <x:c r="L114" s="55" t="str">
        <x:f>IFERROR(J114/G114,"")</x:f>
      </x:c>
      <x:c r="M114" s="36"/>
      <x:c r="N114" s="57" t="str">
        <x:f>IF(A114="","",TEXT(A114,"mmm yyyy"))</x:f>
      </x:c>
    </x:row>
    <x:row r="115">
      <x:c r="A115" s="47"/>
      <x:c r="B115" s="49"/>
      <x:c r="C115" s="49"/>
      <x:c r="D115" s="36"/>
      <x:c r="E115" s="49"/>
      <x:c r="F115" s="51"/>
      <x:c r="G115" s="53"/>
      <x:c r="H115" s="53"/>
      <x:c r="I115" s="53" t="str">
        <x:f>IF(OR(F115="",G115=""),"",IF(F115&gt;0,G115*F115/100,G115*100/ABS(F115)))</x:f>
      </x:c>
      <x:c r="J115" s="53" t="str">
        <x:f>IF(H115="","",IF(H115="Win",I115,IF(H115="Loss",-G115,0)))</x:f>
      </x:c>
      <x:c r="K115" s="53" t="n">
        <x:f>IF(COUNTA(A$5:A115)=0,"",Dashboard!$B$5+SUM(J$5:J115))</x:f>
        <x:v>20.7</x:v>
      </x:c>
      <x:c r="L115" s="55" t="str">
        <x:f>IFERROR(J115/G115,"")</x:f>
      </x:c>
      <x:c r="M115" s="36"/>
      <x:c r="N115" s="57" t="str">
        <x:f>IF(A115="","",TEXT(A115,"mmm yyyy"))</x:f>
      </x:c>
    </x:row>
    <x:row r="116">
      <x:c r="A116" s="47"/>
      <x:c r="B116" s="49"/>
      <x:c r="C116" s="49"/>
      <x:c r="D116" s="36"/>
      <x:c r="E116" s="49"/>
      <x:c r="F116" s="51"/>
      <x:c r="G116" s="53"/>
      <x:c r="H116" s="53"/>
      <x:c r="I116" s="53" t="str">
        <x:f>IF(OR(F116="",G116=""),"",IF(F116&gt;0,G116*F116/100,G116*100/ABS(F116)))</x:f>
      </x:c>
      <x:c r="J116" s="53" t="str">
        <x:f>IF(H116="","",IF(H116="Win",I116,IF(H116="Loss",-G116,0)))</x:f>
      </x:c>
      <x:c r="K116" s="53" t="n">
        <x:f>IF(COUNTA(A$5:A116)=0,"",Dashboard!$B$5+SUM(J$5:J116))</x:f>
        <x:v>20.7</x:v>
      </x:c>
      <x:c r="L116" s="55" t="str">
        <x:f>IFERROR(J116/G116,"")</x:f>
      </x:c>
      <x:c r="M116" s="36"/>
      <x:c r="N116" s="57" t="str">
        <x:f>IF(A116="","",TEXT(A116,"mmm yyyy"))</x:f>
      </x:c>
    </x:row>
    <x:row r="117">
      <x:c r="A117" s="47"/>
      <x:c r="B117" s="49"/>
      <x:c r="C117" s="49"/>
      <x:c r="D117" s="36"/>
      <x:c r="E117" s="49"/>
      <x:c r="F117" s="51"/>
      <x:c r="G117" s="53"/>
      <x:c r="H117" s="53"/>
      <x:c r="I117" s="53" t="str">
        <x:f>IF(OR(F117="",G117=""),"",IF(F117&gt;0,G117*F117/100,G117*100/ABS(F117)))</x:f>
      </x:c>
      <x:c r="J117" s="53" t="str">
        <x:f>IF(H117="","",IF(H117="Win",I117,IF(H117="Loss",-G117,0)))</x:f>
      </x:c>
      <x:c r="K117" s="53" t="n">
        <x:f>IF(COUNTA(A$5:A117)=0,"",Dashboard!$B$5+SUM(J$5:J117))</x:f>
        <x:v>20.7</x:v>
      </x:c>
      <x:c r="L117" s="55" t="str">
        <x:f>IFERROR(J117/G117,"")</x:f>
      </x:c>
      <x:c r="M117" s="36"/>
      <x:c r="N117" s="57" t="str">
        <x:f>IF(A117="","",TEXT(A117,"mmm yyyy"))</x:f>
      </x:c>
    </x:row>
    <x:row r="118">
      <x:c r="A118" s="47"/>
      <x:c r="B118" s="49"/>
      <x:c r="C118" s="49"/>
      <x:c r="D118" s="36"/>
      <x:c r="E118" s="49"/>
      <x:c r="F118" s="51"/>
      <x:c r="G118" s="53"/>
      <x:c r="H118" s="53"/>
      <x:c r="I118" s="53" t="str">
        <x:f>IF(OR(F118="",G118=""),"",IF(F118&gt;0,G118*F118/100,G118*100/ABS(F118)))</x:f>
      </x:c>
      <x:c r="J118" s="53" t="str">
        <x:f>IF(H118="","",IF(H118="Win",I118,IF(H118="Loss",-G118,0)))</x:f>
      </x:c>
      <x:c r="K118" s="53" t="n">
        <x:f>IF(COUNTA(A$5:A118)=0,"",Dashboard!$B$5+SUM(J$5:J118))</x:f>
        <x:v>20.7</x:v>
      </x:c>
      <x:c r="L118" s="55" t="str">
        <x:f>IFERROR(J118/G118,"")</x:f>
      </x:c>
      <x:c r="M118" s="36"/>
      <x:c r="N118" s="57" t="str">
        <x:f>IF(A118="","",TEXT(A118,"mmm yyyy"))</x:f>
      </x:c>
    </x:row>
    <x:row r="119">
      <x:c r="A119" s="47"/>
      <x:c r="B119" s="49"/>
      <x:c r="C119" s="49"/>
      <x:c r="D119" s="36"/>
      <x:c r="E119" s="49"/>
      <x:c r="F119" s="51"/>
      <x:c r="G119" s="53"/>
      <x:c r="H119" s="53"/>
      <x:c r="I119" s="53" t="str">
        <x:f>IF(OR(F119="",G119=""),"",IF(F119&gt;0,G119*F119/100,G119*100/ABS(F119)))</x:f>
      </x:c>
      <x:c r="J119" s="53" t="str">
        <x:f>IF(H119="","",IF(H119="Win",I119,IF(H119="Loss",-G119,0)))</x:f>
      </x:c>
      <x:c r="K119" s="53" t="n">
        <x:f>IF(COUNTA(A$5:A119)=0,"",Dashboard!$B$5+SUM(J$5:J119))</x:f>
        <x:v>20.7</x:v>
      </x:c>
      <x:c r="L119" s="55" t="str">
        <x:f>IFERROR(J119/G119,"")</x:f>
      </x:c>
      <x:c r="M119" s="36"/>
      <x:c r="N119" s="57" t="str">
        <x:f>IF(A119="","",TEXT(A119,"mmm yyyy"))</x:f>
      </x:c>
    </x:row>
    <x:row r="120">
      <x:c r="A120" s="47"/>
      <x:c r="B120" s="49"/>
      <x:c r="C120" s="49"/>
      <x:c r="D120" s="36"/>
      <x:c r="E120" s="49"/>
      <x:c r="F120" s="51"/>
      <x:c r="G120" s="53"/>
      <x:c r="H120" s="53"/>
      <x:c r="I120" s="53" t="str">
        <x:f>IF(OR(F120="",G120=""),"",IF(F120&gt;0,G120*F120/100,G120*100/ABS(F120)))</x:f>
      </x:c>
      <x:c r="J120" s="53" t="str">
        <x:f>IF(H120="","",IF(H120="Win",I120,IF(H120="Loss",-G120,0)))</x:f>
      </x:c>
      <x:c r="K120" s="53" t="n">
        <x:f>IF(COUNTA(A$5:A120)=0,"",Dashboard!$B$5+SUM(J$5:J120))</x:f>
        <x:v>20.7</x:v>
      </x:c>
      <x:c r="L120" s="55" t="str">
        <x:f>IFERROR(J120/G120,"")</x:f>
      </x:c>
      <x:c r="M120" s="36"/>
      <x:c r="N120" s="57" t="str">
        <x:f>IF(A120="","",TEXT(A120,"mmm yyyy"))</x:f>
      </x:c>
    </x:row>
    <x:row r="121">
      <x:c r="A121" s="47"/>
      <x:c r="B121" s="49"/>
      <x:c r="C121" s="49"/>
      <x:c r="D121" s="36"/>
      <x:c r="E121" s="49"/>
      <x:c r="F121" s="51"/>
      <x:c r="G121" s="53"/>
      <x:c r="H121" s="53"/>
      <x:c r="I121" s="53" t="str">
        <x:f>IF(OR(F121="",G121=""),"",IF(F121&gt;0,G121*F121/100,G121*100/ABS(F121)))</x:f>
      </x:c>
      <x:c r="J121" s="53" t="str">
        <x:f>IF(H121="","",IF(H121="Win",I121,IF(H121="Loss",-G121,0)))</x:f>
      </x:c>
      <x:c r="K121" s="53" t="n">
        <x:f>IF(COUNTA(A$5:A121)=0,"",Dashboard!$B$5+SUM(J$5:J121))</x:f>
        <x:v>20.7</x:v>
      </x:c>
      <x:c r="L121" s="55" t="str">
        <x:f>IFERROR(J121/G121,"")</x:f>
      </x:c>
      <x:c r="M121" s="36"/>
      <x:c r="N121" s="57" t="str">
        <x:f>IF(A121="","",TEXT(A121,"mmm yyyy"))</x:f>
      </x:c>
    </x:row>
    <x:row r="122">
      <x:c r="A122" s="47"/>
      <x:c r="B122" s="49"/>
      <x:c r="C122" s="49"/>
      <x:c r="D122" s="36"/>
      <x:c r="E122" s="49"/>
      <x:c r="F122" s="51"/>
      <x:c r="G122" s="53"/>
      <x:c r="H122" s="53"/>
      <x:c r="I122" s="53" t="str">
        <x:f>IF(OR(F122="",G122=""),"",IF(F122&gt;0,G122*F122/100,G122*100/ABS(F122)))</x:f>
      </x:c>
      <x:c r="J122" s="53" t="str">
        <x:f>IF(H122="","",IF(H122="Win",I122,IF(H122="Loss",-G122,0)))</x:f>
      </x:c>
      <x:c r="K122" s="53" t="n">
        <x:f>IF(COUNTA(A$5:A122)=0,"",Dashboard!$B$5+SUM(J$5:J122))</x:f>
        <x:v>20.7</x:v>
      </x:c>
      <x:c r="L122" s="55" t="str">
        <x:f>IFERROR(J122/G122,"")</x:f>
      </x:c>
      <x:c r="M122" s="36"/>
      <x:c r="N122" s="57" t="str">
        <x:f>IF(A122="","",TEXT(A122,"mmm yyyy"))</x:f>
      </x:c>
    </x:row>
    <x:row r="123">
      <x:c r="A123" s="47"/>
      <x:c r="B123" s="49"/>
      <x:c r="C123" s="49"/>
      <x:c r="D123" s="36"/>
      <x:c r="E123" s="49"/>
      <x:c r="F123" s="51"/>
      <x:c r="G123" s="53"/>
      <x:c r="H123" s="53"/>
      <x:c r="I123" s="53" t="str">
        <x:f>IF(OR(F123="",G123=""),"",IF(F123&gt;0,G123*F123/100,G123*100/ABS(F123)))</x:f>
      </x:c>
      <x:c r="J123" s="53" t="str">
        <x:f>IF(H123="","",IF(H123="Win",I123,IF(H123="Loss",-G123,0)))</x:f>
      </x:c>
      <x:c r="K123" s="53" t="n">
        <x:f>IF(COUNTA(A$5:A123)=0,"",Dashboard!$B$5+SUM(J$5:J123))</x:f>
        <x:v>20.7</x:v>
      </x:c>
      <x:c r="L123" s="55" t="str">
        <x:f>IFERROR(J123/G123,"")</x:f>
      </x:c>
      <x:c r="M123" s="36"/>
      <x:c r="N123" s="57" t="str">
        <x:f>IF(A123="","",TEXT(A123,"mmm yyyy"))</x:f>
      </x:c>
    </x:row>
    <x:row r="124">
      <x:c r="A124" s="47"/>
      <x:c r="B124" s="49"/>
      <x:c r="C124" s="49"/>
      <x:c r="D124" s="36"/>
      <x:c r="E124" s="49"/>
      <x:c r="F124" s="51"/>
      <x:c r="G124" s="53"/>
      <x:c r="H124" s="53"/>
      <x:c r="I124" s="53" t="str">
        <x:f>IF(OR(F124="",G124=""),"",IF(F124&gt;0,G124*F124/100,G124*100/ABS(F124)))</x:f>
      </x:c>
      <x:c r="J124" s="53" t="str">
        <x:f>IF(H124="","",IF(H124="Win",I124,IF(H124="Loss",-G124,0)))</x:f>
      </x:c>
      <x:c r="K124" s="53" t="n">
        <x:f>IF(COUNTA(A$5:A124)=0,"",Dashboard!$B$5+SUM(J$5:J124))</x:f>
        <x:v>20.7</x:v>
      </x:c>
      <x:c r="L124" s="55" t="str">
        <x:f>IFERROR(J124/G124,"")</x:f>
      </x:c>
      <x:c r="M124" s="36"/>
      <x:c r="N124" s="57" t="str">
        <x:f>IF(A124="","",TEXT(A124,"mmm yyyy"))</x:f>
      </x:c>
    </x:row>
    <x:row r="125">
      <x:c r="A125" s="47"/>
      <x:c r="B125" s="49"/>
      <x:c r="C125" s="49"/>
      <x:c r="D125" s="36"/>
      <x:c r="E125" s="49"/>
      <x:c r="F125" s="51"/>
      <x:c r="G125" s="53"/>
      <x:c r="H125" s="53"/>
      <x:c r="I125" s="53" t="str">
        <x:f>IF(OR(F125="",G125=""),"",IF(F125&gt;0,G125*F125/100,G125*100/ABS(F125)))</x:f>
      </x:c>
      <x:c r="J125" s="53" t="str">
        <x:f>IF(H125="","",IF(H125="Win",I125,IF(H125="Loss",-G125,0)))</x:f>
      </x:c>
      <x:c r="K125" s="53" t="n">
        <x:f>IF(COUNTA(A$5:A125)=0,"",Dashboard!$B$5+SUM(J$5:J125))</x:f>
        <x:v>20.7</x:v>
      </x:c>
      <x:c r="L125" s="55" t="str">
        <x:f>IFERROR(J125/G125,"")</x:f>
      </x:c>
      <x:c r="M125" s="36"/>
      <x:c r="N125" s="57" t="str">
        <x:f>IF(A125="","",TEXT(A125,"mmm yyyy"))</x:f>
      </x:c>
    </x:row>
    <x:row r="126">
      <x:c r="A126" s="47"/>
      <x:c r="B126" s="49"/>
      <x:c r="C126" s="49"/>
      <x:c r="D126" s="36"/>
      <x:c r="E126" s="49"/>
      <x:c r="F126" s="51"/>
      <x:c r="G126" s="53"/>
      <x:c r="H126" s="53"/>
      <x:c r="I126" s="53" t="str">
        <x:f>IF(OR(F126="",G126=""),"",IF(F126&gt;0,G126*F126/100,G126*100/ABS(F126)))</x:f>
      </x:c>
      <x:c r="J126" s="53" t="str">
        <x:f>IF(H126="","",IF(H126="Win",I126,IF(H126="Loss",-G126,0)))</x:f>
      </x:c>
      <x:c r="K126" s="53" t="n">
        <x:f>IF(COUNTA(A$5:A126)=0,"",Dashboard!$B$5+SUM(J$5:J126))</x:f>
        <x:v>20.7</x:v>
      </x:c>
      <x:c r="L126" s="55" t="str">
        <x:f>IFERROR(J126/G126,"")</x:f>
      </x:c>
      <x:c r="M126" s="36"/>
      <x:c r="N126" s="57" t="str">
        <x:f>IF(A126="","",TEXT(A126,"mmm yyyy"))</x:f>
      </x:c>
    </x:row>
    <x:row r="127">
      <x:c r="A127" s="47"/>
      <x:c r="B127" s="49"/>
      <x:c r="C127" s="49"/>
      <x:c r="D127" s="36"/>
      <x:c r="E127" s="49"/>
      <x:c r="F127" s="51"/>
      <x:c r="G127" s="53"/>
      <x:c r="H127" s="53"/>
      <x:c r="I127" s="53" t="str">
        <x:f>IF(OR(F127="",G127=""),"",IF(F127&gt;0,G127*F127/100,G127*100/ABS(F127)))</x:f>
      </x:c>
      <x:c r="J127" s="53" t="str">
        <x:f>IF(H127="","",IF(H127="Win",I127,IF(H127="Loss",-G127,0)))</x:f>
      </x:c>
      <x:c r="K127" s="53" t="n">
        <x:f>IF(COUNTA(A$5:A127)=0,"",Dashboard!$B$5+SUM(J$5:J127))</x:f>
        <x:v>20.7</x:v>
      </x:c>
      <x:c r="L127" s="55" t="str">
        <x:f>IFERROR(J127/G127,"")</x:f>
      </x:c>
      <x:c r="M127" s="36"/>
      <x:c r="N127" s="57" t="str">
        <x:f>IF(A127="","",TEXT(A127,"mmm yyyy"))</x:f>
      </x:c>
    </x:row>
    <x:row r="128">
      <x:c r="A128" s="47"/>
      <x:c r="B128" s="49"/>
      <x:c r="C128" s="49"/>
      <x:c r="D128" s="36"/>
      <x:c r="E128" s="49"/>
      <x:c r="F128" s="51"/>
      <x:c r="G128" s="53"/>
      <x:c r="H128" s="53"/>
      <x:c r="I128" s="53" t="str">
        <x:f>IF(OR(F128="",G128=""),"",IF(F128&gt;0,G128*F128/100,G128*100/ABS(F128)))</x:f>
      </x:c>
      <x:c r="J128" s="53" t="str">
        <x:f>IF(H128="","",IF(H128="Win",I128,IF(H128="Loss",-G128,0)))</x:f>
      </x:c>
      <x:c r="K128" s="53" t="n">
        <x:f>IF(COUNTA(A$5:A128)=0,"",Dashboard!$B$5+SUM(J$5:J128))</x:f>
        <x:v>20.7</x:v>
      </x:c>
      <x:c r="L128" s="55" t="str">
        <x:f>IFERROR(J128/G128,"")</x:f>
      </x:c>
      <x:c r="M128" s="36"/>
      <x:c r="N128" s="57" t="str">
        <x:f>IF(A128="","",TEXT(A128,"mmm yyyy"))</x:f>
      </x:c>
    </x:row>
    <x:row r="129">
      <x:c r="A129" s="47"/>
      <x:c r="B129" s="49"/>
      <x:c r="C129" s="49"/>
      <x:c r="D129" s="36"/>
      <x:c r="E129" s="49"/>
      <x:c r="F129" s="51"/>
      <x:c r="G129" s="53"/>
      <x:c r="H129" s="53"/>
      <x:c r="I129" s="53" t="str">
        <x:f>IF(OR(F129="",G129=""),"",IF(F129&gt;0,G129*F129/100,G129*100/ABS(F129)))</x:f>
      </x:c>
      <x:c r="J129" s="53" t="str">
        <x:f>IF(H129="","",IF(H129="Win",I129,IF(H129="Loss",-G129,0)))</x:f>
      </x:c>
      <x:c r="K129" s="53" t="n">
        <x:f>IF(COUNTA(A$5:A129)=0,"",Dashboard!$B$5+SUM(J$5:J129))</x:f>
        <x:v>20.7</x:v>
      </x:c>
      <x:c r="L129" s="55" t="str">
        <x:f>IFERROR(J129/G129,"")</x:f>
      </x:c>
      <x:c r="M129" s="36"/>
      <x:c r="N129" s="57" t="str">
        <x:f>IF(A129="","",TEXT(A129,"mmm yyyy"))</x:f>
      </x:c>
    </x:row>
    <x:row r="130">
      <x:c r="A130" s="47"/>
      <x:c r="B130" s="49"/>
      <x:c r="C130" s="49"/>
      <x:c r="D130" s="36"/>
      <x:c r="E130" s="49"/>
      <x:c r="F130" s="51"/>
      <x:c r="G130" s="53"/>
      <x:c r="H130" s="53"/>
      <x:c r="I130" s="53" t="str">
        <x:f>IF(OR(F130="",G130=""),"",IF(F130&gt;0,G130*F130/100,G130*100/ABS(F130)))</x:f>
      </x:c>
      <x:c r="J130" s="53" t="str">
        <x:f>IF(H130="","",IF(H130="Win",I130,IF(H130="Loss",-G130,0)))</x:f>
      </x:c>
      <x:c r="K130" s="53" t="n">
        <x:f>IF(COUNTA(A$5:A130)=0,"",Dashboard!$B$5+SUM(J$5:J130))</x:f>
        <x:v>20.7</x:v>
      </x:c>
      <x:c r="L130" s="55" t="str">
        <x:f>IFERROR(J130/G130,"")</x:f>
      </x:c>
      <x:c r="M130" s="36"/>
      <x:c r="N130" s="57" t="str">
        <x:f>IF(A130="","",TEXT(A130,"mmm yyyy"))</x:f>
      </x:c>
    </x:row>
    <x:row r="131">
      <x:c r="A131" s="47"/>
      <x:c r="B131" s="49"/>
      <x:c r="C131" s="49"/>
      <x:c r="D131" s="36"/>
      <x:c r="E131" s="49"/>
      <x:c r="F131" s="51"/>
      <x:c r="G131" s="53"/>
      <x:c r="H131" s="53"/>
      <x:c r="I131" s="53" t="str">
        <x:f>IF(OR(F131="",G131=""),"",IF(F131&gt;0,G131*F131/100,G131*100/ABS(F131)))</x:f>
      </x:c>
      <x:c r="J131" s="53" t="str">
        <x:f>IF(H131="","",IF(H131="Win",I131,IF(H131="Loss",-G131,0)))</x:f>
      </x:c>
      <x:c r="K131" s="53" t="n">
        <x:f>IF(COUNTA(A$5:A131)=0,"",Dashboard!$B$5+SUM(J$5:J131))</x:f>
        <x:v>20.7</x:v>
      </x:c>
      <x:c r="L131" s="55" t="str">
        <x:f>IFERROR(J131/G131,"")</x:f>
      </x:c>
      <x:c r="M131" s="36"/>
      <x:c r="N131" s="57" t="str">
        <x:f>IF(A131="","",TEXT(A131,"mmm yyyy"))</x:f>
      </x:c>
    </x:row>
    <x:row r="132">
      <x:c r="A132" s="47"/>
      <x:c r="B132" s="49"/>
      <x:c r="C132" s="49"/>
      <x:c r="D132" s="36"/>
      <x:c r="E132" s="49"/>
      <x:c r="F132" s="51"/>
      <x:c r="G132" s="53"/>
      <x:c r="H132" s="53"/>
      <x:c r="I132" s="53" t="str">
        <x:f>IF(OR(F132="",G132=""),"",IF(F132&gt;0,G132*F132/100,G132*100/ABS(F132)))</x:f>
      </x:c>
      <x:c r="J132" s="53" t="str">
        <x:f>IF(H132="","",IF(H132="Win",I132,IF(H132="Loss",-G132,0)))</x:f>
      </x:c>
      <x:c r="K132" s="53" t="n">
        <x:f>IF(COUNTA(A$5:A132)=0,"",Dashboard!$B$5+SUM(J$5:J132))</x:f>
        <x:v>20.7</x:v>
      </x:c>
      <x:c r="L132" s="55" t="str">
        <x:f>IFERROR(J132/G132,"")</x:f>
      </x:c>
      <x:c r="M132" s="36"/>
      <x:c r="N132" s="57" t="str">
        <x:f>IF(A132="","",TEXT(A132,"mmm yyyy"))</x:f>
      </x:c>
    </x:row>
    <x:row r="133">
      <x:c r="A133" s="47"/>
      <x:c r="B133" s="49"/>
      <x:c r="C133" s="49"/>
      <x:c r="D133" s="36"/>
      <x:c r="E133" s="49"/>
      <x:c r="F133" s="51"/>
      <x:c r="G133" s="53"/>
      <x:c r="H133" s="53"/>
      <x:c r="I133" s="53" t="str">
        <x:f>IF(OR(F133="",G133=""),"",IF(F133&gt;0,G133*F133/100,G133*100/ABS(F133)))</x:f>
      </x:c>
      <x:c r="J133" s="53" t="str">
        <x:f>IF(H133="","",IF(H133="Win",I133,IF(H133="Loss",-G133,0)))</x:f>
      </x:c>
      <x:c r="K133" s="53" t="n">
        <x:f>IF(COUNTA(A$5:A133)=0,"",Dashboard!$B$5+SUM(J$5:J133))</x:f>
        <x:v>20.7</x:v>
      </x:c>
      <x:c r="L133" s="55" t="str">
        <x:f>IFERROR(J133/G133,"")</x:f>
      </x:c>
      <x:c r="M133" s="36"/>
      <x:c r="N133" s="57" t="str">
        <x:f>IF(A133="","",TEXT(A133,"mmm yyyy"))</x:f>
      </x:c>
    </x:row>
    <x:row r="134">
      <x:c r="A134" s="47"/>
      <x:c r="B134" s="49"/>
      <x:c r="C134" s="49"/>
      <x:c r="D134" s="36"/>
      <x:c r="E134" s="49"/>
      <x:c r="F134" s="51"/>
      <x:c r="G134" s="53"/>
      <x:c r="H134" s="53"/>
      <x:c r="I134" s="53" t="str">
        <x:f>IF(OR(F134="",G134=""),"",IF(F134&gt;0,G134*F134/100,G134*100/ABS(F134)))</x:f>
      </x:c>
      <x:c r="J134" s="53" t="str">
        <x:f>IF(H134="","",IF(H134="Win",I134,IF(H134="Loss",-G134,0)))</x:f>
      </x:c>
      <x:c r="K134" s="53" t="n">
        <x:f>IF(COUNTA(A$5:A134)=0,"",Dashboard!$B$5+SUM(J$5:J134))</x:f>
        <x:v>20.7</x:v>
      </x:c>
      <x:c r="L134" s="55" t="str">
        <x:f>IFERROR(J134/G134,"")</x:f>
      </x:c>
      <x:c r="M134" s="36"/>
      <x:c r="N134" s="57" t="str">
        <x:f>IF(A134="","",TEXT(A134,"mmm yyyy"))</x:f>
      </x:c>
    </x:row>
    <x:row r="135">
      <x:c r="A135" s="47"/>
      <x:c r="B135" s="49"/>
      <x:c r="C135" s="49"/>
      <x:c r="D135" s="36"/>
      <x:c r="E135" s="49"/>
      <x:c r="F135" s="51"/>
      <x:c r="G135" s="53"/>
      <x:c r="H135" s="53"/>
      <x:c r="I135" s="53" t="str">
        <x:f>IF(OR(F135="",G135=""),"",IF(F135&gt;0,G135*F135/100,G135*100/ABS(F135)))</x:f>
      </x:c>
      <x:c r="J135" s="53" t="str">
        <x:f>IF(H135="","",IF(H135="Win",I135,IF(H135="Loss",-G135,0)))</x:f>
      </x:c>
      <x:c r="K135" s="53" t="n">
        <x:f>IF(COUNTA(A$5:A135)=0,"",Dashboard!$B$5+SUM(J$5:J135))</x:f>
        <x:v>20.7</x:v>
      </x:c>
      <x:c r="L135" s="55" t="str">
        <x:f>IFERROR(J135/G135,"")</x:f>
      </x:c>
      <x:c r="M135" s="36"/>
      <x:c r="N135" s="57" t="str">
        <x:f>IF(A135="","",TEXT(A135,"mmm yyyy"))</x:f>
      </x:c>
    </x:row>
    <x:row r="136">
      <x:c r="A136" s="47"/>
      <x:c r="B136" s="49"/>
      <x:c r="C136" s="49"/>
      <x:c r="D136" s="36"/>
      <x:c r="E136" s="49"/>
      <x:c r="F136" s="51"/>
      <x:c r="G136" s="53"/>
      <x:c r="H136" s="53"/>
      <x:c r="I136" s="53" t="str">
        <x:f>IF(OR(F136="",G136=""),"",IF(F136&gt;0,G136*F136/100,G136*100/ABS(F136)))</x:f>
      </x:c>
      <x:c r="J136" s="53" t="str">
        <x:f>IF(H136="","",IF(H136="Win",I136,IF(H136="Loss",-G136,0)))</x:f>
      </x:c>
      <x:c r="K136" s="53" t="n">
        <x:f>IF(COUNTA(A$5:A136)=0,"",Dashboard!$B$5+SUM(J$5:J136))</x:f>
        <x:v>20.7</x:v>
      </x:c>
      <x:c r="L136" s="55" t="str">
        <x:f>IFERROR(J136/G136,"")</x:f>
      </x:c>
      <x:c r="M136" s="36"/>
      <x:c r="N136" s="57" t="str">
        <x:f>IF(A136="","",TEXT(A136,"mmm yyyy"))</x:f>
      </x:c>
    </x:row>
    <x:row r="137">
      <x:c r="A137" s="47"/>
      <x:c r="B137" s="49"/>
      <x:c r="C137" s="49"/>
      <x:c r="D137" s="36"/>
      <x:c r="E137" s="49"/>
      <x:c r="F137" s="51"/>
      <x:c r="G137" s="53"/>
      <x:c r="H137" s="53"/>
      <x:c r="I137" s="53" t="str">
        <x:f>IF(OR(F137="",G137=""),"",IF(F137&gt;0,G137*F137/100,G137*100/ABS(F137)))</x:f>
      </x:c>
      <x:c r="J137" s="53" t="str">
        <x:f>IF(H137="","",IF(H137="Win",I137,IF(H137="Loss",-G137,0)))</x:f>
      </x:c>
      <x:c r="K137" s="53" t="n">
        <x:f>IF(COUNTA(A$5:A137)=0,"",Dashboard!$B$5+SUM(J$5:J137))</x:f>
        <x:v>20.7</x:v>
      </x:c>
      <x:c r="L137" s="55" t="str">
        <x:f>IFERROR(J137/G137,"")</x:f>
      </x:c>
      <x:c r="M137" s="36"/>
      <x:c r="N137" s="57" t="str">
        <x:f>IF(A137="","",TEXT(A137,"mmm yyyy"))</x:f>
      </x:c>
    </x:row>
    <x:row r="138">
      <x:c r="A138" s="47"/>
      <x:c r="B138" s="49"/>
      <x:c r="C138" s="49"/>
      <x:c r="D138" s="36"/>
      <x:c r="E138" s="49"/>
      <x:c r="F138" s="51"/>
      <x:c r="G138" s="53"/>
      <x:c r="H138" s="53"/>
      <x:c r="I138" s="53" t="str">
        <x:f>IF(OR(F138="",G138=""),"",IF(F138&gt;0,G138*F138/100,G138*100/ABS(F138)))</x:f>
      </x:c>
      <x:c r="J138" s="53" t="str">
        <x:f>IF(H138="","",IF(H138="Win",I138,IF(H138="Loss",-G138,0)))</x:f>
      </x:c>
      <x:c r="K138" s="53" t="n">
        <x:f>IF(COUNTA(A$5:A138)=0,"",Dashboard!$B$5+SUM(J$5:J138))</x:f>
        <x:v>20.7</x:v>
      </x:c>
      <x:c r="L138" s="55" t="str">
        <x:f>IFERROR(J138/G138,"")</x:f>
      </x:c>
      <x:c r="M138" s="36"/>
      <x:c r="N138" s="57" t="str">
        <x:f>IF(A138="","",TEXT(A138,"mmm yyyy"))</x:f>
      </x:c>
    </x:row>
    <x:row r="139">
      <x:c r="A139" s="47"/>
      <x:c r="B139" s="49"/>
      <x:c r="C139" s="49"/>
      <x:c r="D139" s="36"/>
      <x:c r="E139" s="49"/>
      <x:c r="F139" s="51"/>
      <x:c r="G139" s="53"/>
      <x:c r="H139" s="53"/>
      <x:c r="I139" s="53" t="str">
        <x:f>IF(OR(F139="",G139=""),"",IF(F139&gt;0,G139*F139/100,G139*100/ABS(F139)))</x:f>
      </x:c>
      <x:c r="J139" s="53" t="str">
        <x:f>IF(H139="","",IF(H139="Win",I139,IF(H139="Loss",-G139,0)))</x:f>
      </x:c>
      <x:c r="K139" s="53" t="n">
        <x:f>IF(COUNTA(A$5:A139)=0,"",Dashboard!$B$5+SUM(J$5:J139))</x:f>
        <x:v>20.7</x:v>
      </x:c>
      <x:c r="L139" s="55" t="str">
        <x:f>IFERROR(J139/G139,"")</x:f>
      </x:c>
      <x:c r="M139" s="36"/>
      <x:c r="N139" s="57" t="str">
        <x:f>IF(A139="","",TEXT(A139,"mmm yyyy"))</x:f>
      </x:c>
    </x:row>
    <x:row r="140">
      <x:c r="A140" s="47"/>
      <x:c r="B140" s="49"/>
      <x:c r="C140" s="49"/>
      <x:c r="D140" s="36"/>
      <x:c r="E140" s="49"/>
      <x:c r="F140" s="51"/>
      <x:c r="G140" s="53"/>
      <x:c r="H140" s="53"/>
      <x:c r="I140" s="53" t="str">
        <x:f>IF(OR(F140="",G140=""),"",IF(F140&gt;0,G140*F140/100,G140*100/ABS(F140)))</x:f>
      </x:c>
      <x:c r="J140" s="53" t="str">
        <x:f>IF(H140="","",IF(H140="Win",I140,IF(H140="Loss",-G140,0)))</x:f>
      </x:c>
      <x:c r="K140" s="53" t="n">
        <x:f>IF(COUNTA(A$5:A140)=0,"",Dashboard!$B$5+SUM(J$5:J140))</x:f>
        <x:v>20.7</x:v>
      </x:c>
      <x:c r="L140" s="55" t="str">
        <x:f>IFERROR(J140/G140,"")</x:f>
      </x:c>
      <x:c r="M140" s="36"/>
      <x:c r="N140" s="57" t="str">
        <x:f>IF(A140="","",TEXT(A140,"mmm yyyy"))</x:f>
      </x:c>
    </x:row>
    <x:row r="141">
      <x:c r="A141" s="47"/>
      <x:c r="B141" s="49"/>
      <x:c r="C141" s="49"/>
      <x:c r="D141" s="36"/>
      <x:c r="E141" s="49"/>
      <x:c r="F141" s="51"/>
      <x:c r="G141" s="53"/>
      <x:c r="H141" s="53"/>
      <x:c r="I141" s="53" t="str">
        <x:f>IF(OR(F141="",G141=""),"",IF(F141&gt;0,G141*F141/100,G141*100/ABS(F141)))</x:f>
      </x:c>
      <x:c r="J141" s="53" t="str">
        <x:f>IF(H141="","",IF(H141="Win",I141,IF(H141="Loss",-G141,0)))</x:f>
      </x:c>
      <x:c r="K141" s="53" t="n">
        <x:f>IF(COUNTA(A$5:A141)=0,"",Dashboard!$B$5+SUM(J$5:J141))</x:f>
        <x:v>20.7</x:v>
      </x:c>
      <x:c r="L141" s="55" t="str">
        <x:f>IFERROR(J141/G141,"")</x:f>
      </x:c>
      <x:c r="M141" s="36"/>
      <x:c r="N141" s="57" t="str">
        <x:f>IF(A141="","",TEXT(A141,"mmm yyyy"))</x:f>
      </x:c>
    </x:row>
    <x:row r="142">
      <x:c r="A142" s="47"/>
      <x:c r="B142" s="49"/>
      <x:c r="C142" s="49"/>
      <x:c r="D142" s="36"/>
      <x:c r="E142" s="49"/>
      <x:c r="F142" s="51"/>
      <x:c r="G142" s="53"/>
      <x:c r="H142" s="53"/>
      <x:c r="I142" s="53" t="str">
        <x:f>IF(OR(F142="",G142=""),"",IF(F142&gt;0,G142*F142/100,G142*100/ABS(F142)))</x:f>
      </x:c>
      <x:c r="J142" s="53" t="str">
        <x:f>IF(H142="","",IF(H142="Win",I142,IF(H142="Loss",-G142,0)))</x:f>
      </x:c>
      <x:c r="K142" s="53" t="n">
        <x:f>IF(COUNTA(A$5:A142)=0,"",Dashboard!$B$5+SUM(J$5:J142))</x:f>
        <x:v>20.7</x:v>
      </x:c>
      <x:c r="L142" s="55" t="str">
        <x:f>IFERROR(J142/G142,"")</x:f>
      </x:c>
      <x:c r="M142" s="36"/>
      <x:c r="N142" s="57" t="str">
        <x:f>IF(A142="","",TEXT(A142,"mmm yyyy"))</x:f>
      </x:c>
    </x:row>
    <x:row r="143">
      <x:c r="A143" s="47"/>
      <x:c r="B143" s="49"/>
      <x:c r="C143" s="49"/>
      <x:c r="D143" s="36"/>
      <x:c r="E143" s="49"/>
      <x:c r="F143" s="51"/>
      <x:c r="G143" s="53"/>
      <x:c r="H143" s="53"/>
      <x:c r="I143" s="53" t="str">
        <x:f>IF(OR(F143="",G143=""),"",IF(F143&gt;0,G143*F143/100,G143*100/ABS(F143)))</x:f>
      </x:c>
      <x:c r="J143" s="53" t="str">
        <x:f>IF(H143="","",IF(H143="Win",I143,IF(H143="Loss",-G143,0)))</x:f>
      </x:c>
      <x:c r="K143" s="53" t="n">
        <x:f>IF(COUNTA(A$5:A143)=0,"",Dashboard!$B$5+SUM(J$5:J143))</x:f>
        <x:v>20.7</x:v>
      </x:c>
      <x:c r="L143" s="55" t="str">
        <x:f>IFERROR(J143/G143,"")</x:f>
      </x:c>
      <x:c r="M143" s="36"/>
      <x:c r="N143" s="57" t="str">
        <x:f>IF(A143="","",TEXT(A143,"mmm yyyy"))</x:f>
      </x:c>
    </x:row>
    <x:row r="144">
      <x:c r="A144" s="47"/>
      <x:c r="B144" s="49"/>
      <x:c r="C144" s="49"/>
      <x:c r="D144" s="36"/>
      <x:c r="E144" s="49"/>
      <x:c r="F144" s="51"/>
      <x:c r="G144" s="53"/>
      <x:c r="H144" s="53"/>
      <x:c r="I144" s="53" t="str">
        <x:f>IF(OR(F144="",G144=""),"",IF(F144&gt;0,G144*F144/100,G144*100/ABS(F144)))</x:f>
      </x:c>
      <x:c r="J144" s="53" t="str">
        <x:f>IF(H144="","",IF(H144="Win",I144,IF(H144="Loss",-G144,0)))</x:f>
      </x:c>
      <x:c r="K144" s="53" t="n">
        <x:f>IF(COUNTA(A$5:A144)=0,"",Dashboard!$B$5+SUM(J$5:J144))</x:f>
        <x:v>20.7</x:v>
      </x:c>
      <x:c r="L144" s="55" t="str">
        <x:f>IFERROR(J144/G144,"")</x:f>
      </x:c>
      <x:c r="M144" s="36"/>
      <x:c r="N144" s="57" t="str">
        <x:f>IF(A144="","",TEXT(A144,"mmm yyyy"))</x:f>
      </x:c>
    </x:row>
    <x:row r="145">
      <x:c r="A145" s="47"/>
      <x:c r="B145" s="49"/>
      <x:c r="C145" s="49"/>
      <x:c r="D145" s="36"/>
      <x:c r="E145" s="49"/>
      <x:c r="F145" s="51"/>
      <x:c r="G145" s="53"/>
      <x:c r="H145" s="53"/>
      <x:c r="I145" s="53" t="str">
        <x:f>IF(OR(F145="",G145=""),"",IF(F145&gt;0,G145*F145/100,G145*100/ABS(F145)))</x:f>
      </x:c>
      <x:c r="J145" s="53" t="str">
        <x:f>IF(H145="","",IF(H145="Win",I145,IF(H145="Loss",-G145,0)))</x:f>
      </x:c>
      <x:c r="K145" s="53" t="n">
        <x:f>IF(COUNTA(A$5:A145)=0,"",Dashboard!$B$5+SUM(J$5:J145))</x:f>
        <x:v>20.7</x:v>
      </x:c>
      <x:c r="L145" s="55" t="str">
        <x:f>IFERROR(J145/G145,"")</x:f>
      </x:c>
      <x:c r="M145" s="36"/>
      <x:c r="N145" s="57" t="str">
        <x:f>IF(A145="","",TEXT(A145,"mmm yyyy"))</x:f>
      </x:c>
    </x:row>
    <x:row r="146">
      <x:c r="A146" s="47"/>
      <x:c r="B146" s="49"/>
      <x:c r="C146" s="49"/>
      <x:c r="D146" s="36"/>
      <x:c r="E146" s="49"/>
      <x:c r="F146" s="51"/>
      <x:c r="G146" s="53"/>
      <x:c r="H146" s="53"/>
      <x:c r="I146" s="53" t="str">
        <x:f>IF(OR(F146="",G146=""),"",IF(F146&gt;0,G146*F146/100,G146*100/ABS(F146)))</x:f>
      </x:c>
      <x:c r="J146" s="53" t="str">
        <x:f>IF(H146="","",IF(H146="Win",I146,IF(H146="Loss",-G146,0)))</x:f>
      </x:c>
      <x:c r="K146" s="53" t="n">
        <x:f>IF(COUNTA(A$5:A146)=0,"",Dashboard!$B$5+SUM(J$5:J146))</x:f>
        <x:v>20.7</x:v>
      </x:c>
      <x:c r="L146" s="55" t="str">
        <x:f>IFERROR(J146/G146,"")</x:f>
      </x:c>
      <x:c r="M146" s="36"/>
      <x:c r="N146" s="57" t="str">
        <x:f>IF(A146="","",TEXT(A146,"mmm yyyy"))</x:f>
      </x:c>
    </x:row>
    <x:row r="147">
      <x:c r="A147" s="47"/>
      <x:c r="B147" s="49"/>
      <x:c r="C147" s="49"/>
      <x:c r="D147" s="36"/>
      <x:c r="E147" s="49"/>
      <x:c r="F147" s="51"/>
      <x:c r="G147" s="53"/>
      <x:c r="H147" s="53"/>
      <x:c r="I147" s="53" t="str">
        <x:f>IF(OR(F147="",G147=""),"",IF(F147&gt;0,G147*F147/100,G147*100/ABS(F147)))</x:f>
      </x:c>
      <x:c r="J147" s="53" t="str">
        <x:f>IF(H147="","",IF(H147="Win",I147,IF(H147="Loss",-G147,0)))</x:f>
      </x:c>
      <x:c r="K147" s="53" t="n">
        <x:f>IF(COUNTA(A$5:A147)=0,"",Dashboard!$B$5+SUM(J$5:J147))</x:f>
        <x:v>20.7</x:v>
      </x:c>
      <x:c r="L147" s="55" t="str">
        <x:f>IFERROR(J147/G147,"")</x:f>
      </x:c>
      <x:c r="M147" s="36"/>
      <x:c r="N147" s="57" t="str">
        <x:f>IF(A147="","",TEXT(A147,"mmm yyyy"))</x:f>
      </x:c>
    </x:row>
    <x:row r="148">
      <x:c r="A148" s="47"/>
      <x:c r="B148" s="49"/>
      <x:c r="C148" s="49"/>
      <x:c r="D148" s="36"/>
      <x:c r="E148" s="49"/>
      <x:c r="F148" s="51"/>
      <x:c r="G148" s="53"/>
      <x:c r="H148" s="53"/>
      <x:c r="I148" s="53" t="str">
        <x:f>IF(OR(F148="",G148=""),"",IF(F148&gt;0,G148*F148/100,G148*100/ABS(F148)))</x:f>
      </x:c>
      <x:c r="J148" s="53" t="str">
        <x:f>IF(H148="","",IF(H148="Win",I148,IF(H148="Loss",-G148,0)))</x:f>
      </x:c>
      <x:c r="K148" s="53" t="n">
        <x:f>IF(COUNTA(A$5:A148)=0,"",Dashboard!$B$5+SUM(J$5:J148))</x:f>
        <x:v>20.7</x:v>
      </x:c>
      <x:c r="L148" s="55" t="str">
        <x:f>IFERROR(J148/G148,"")</x:f>
      </x:c>
      <x:c r="M148" s="36"/>
      <x:c r="N148" s="57" t="str">
        <x:f>IF(A148="","",TEXT(A148,"mmm yyyy"))</x:f>
      </x:c>
    </x:row>
    <x:row r="149">
      <x:c r="A149" s="47"/>
      <x:c r="B149" s="49"/>
      <x:c r="C149" s="49"/>
      <x:c r="D149" s="36"/>
      <x:c r="E149" s="49"/>
      <x:c r="F149" s="51"/>
      <x:c r="G149" s="53"/>
      <x:c r="H149" s="53"/>
      <x:c r="I149" s="53" t="str">
        <x:f>IF(OR(F149="",G149=""),"",IF(F149&gt;0,G149*F149/100,G149*100/ABS(F149)))</x:f>
      </x:c>
      <x:c r="J149" s="53" t="str">
        <x:f>IF(H149="","",IF(H149="Win",I149,IF(H149="Loss",-G149,0)))</x:f>
      </x:c>
      <x:c r="K149" s="53" t="n">
        <x:f>IF(COUNTA(A$5:A149)=0,"",Dashboard!$B$5+SUM(J$5:J149))</x:f>
        <x:v>20.7</x:v>
      </x:c>
      <x:c r="L149" s="55" t="str">
        <x:f>IFERROR(J149/G149,"")</x:f>
      </x:c>
      <x:c r="M149" s="36"/>
      <x:c r="N149" s="57" t="str">
        <x:f>IF(A149="","",TEXT(A149,"mmm yyyy"))</x:f>
      </x:c>
    </x:row>
    <x:row r="150">
      <x:c r="A150" s="47"/>
      <x:c r="B150" s="49"/>
      <x:c r="C150" s="49"/>
      <x:c r="D150" s="36"/>
      <x:c r="E150" s="49"/>
      <x:c r="F150" s="51"/>
      <x:c r="G150" s="53"/>
      <x:c r="H150" s="53"/>
      <x:c r="I150" s="53" t="str">
        <x:f>IF(OR(F150="",G150=""),"",IF(F150&gt;0,G150*F150/100,G150*100/ABS(F150)))</x:f>
      </x:c>
      <x:c r="J150" s="53" t="str">
        <x:f>IF(H150="","",IF(H150="Win",I150,IF(H150="Loss",-G150,0)))</x:f>
      </x:c>
      <x:c r="K150" s="53" t="n">
        <x:f>IF(COUNTA(A$5:A150)=0,"",Dashboard!$B$5+SUM(J$5:J150))</x:f>
        <x:v>20.7</x:v>
      </x:c>
      <x:c r="L150" s="55" t="str">
        <x:f>IFERROR(J150/G150,"")</x:f>
      </x:c>
      <x:c r="M150" s="36"/>
      <x:c r="N150" s="57" t="str">
        <x:f>IF(A150="","",TEXT(A150,"mmm yyyy"))</x:f>
      </x:c>
    </x:row>
    <x:row r="151">
      <x:c r="A151" s="47"/>
      <x:c r="B151" s="49"/>
      <x:c r="C151" s="49"/>
      <x:c r="D151" s="36"/>
      <x:c r="E151" s="49"/>
      <x:c r="F151" s="51"/>
      <x:c r="G151" s="53"/>
      <x:c r="H151" s="53"/>
      <x:c r="I151" s="53" t="str">
        <x:f>IF(OR(F151="",G151=""),"",IF(F151&gt;0,G151*F151/100,G151*100/ABS(F151)))</x:f>
      </x:c>
      <x:c r="J151" s="53" t="str">
        <x:f>IF(H151="","",IF(H151="Win",I151,IF(H151="Loss",-G151,0)))</x:f>
      </x:c>
      <x:c r="K151" s="53" t="n">
        <x:f>IF(COUNTA(A$5:A151)=0,"",Dashboard!$B$5+SUM(J$5:J151))</x:f>
        <x:v>20.7</x:v>
      </x:c>
      <x:c r="L151" s="55" t="str">
        <x:f>IFERROR(J151/G151,"")</x:f>
      </x:c>
      <x:c r="M151" s="36"/>
      <x:c r="N151" s="57" t="str">
        <x:f>IF(A151="","",TEXT(A151,"mmm yyyy"))</x:f>
      </x:c>
    </x:row>
    <x:row r="152">
      <x:c r="A152" s="47"/>
      <x:c r="B152" s="49"/>
      <x:c r="C152" s="49"/>
      <x:c r="D152" s="36"/>
      <x:c r="E152" s="49"/>
      <x:c r="F152" s="51"/>
      <x:c r="G152" s="53"/>
      <x:c r="H152" s="53"/>
      <x:c r="I152" s="53" t="str">
        <x:f>IF(OR(F152="",G152=""),"",IF(F152&gt;0,G152*F152/100,G152*100/ABS(F152)))</x:f>
      </x:c>
      <x:c r="J152" s="53" t="str">
        <x:f>IF(H152="","",IF(H152="Win",I152,IF(H152="Loss",-G152,0)))</x:f>
      </x:c>
      <x:c r="K152" s="53" t="n">
        <x:f>IF(COUNTA(A$5:A152)=0,"",Dashboard!$B$5+SUM(J$5:J152))</x:f>
        <x:v>20.7</x:v>
      </x:c>
      <x:c r="L152" s="55" t="str">
        <x:f>IFERROR(J152/G152,"")</x:f>
      </x:c>
      <x:c r="M152" s="36"/>
      <x:c r="N152" s="57" t="str">
        <x:f>IF(A152="","",TEXT(A152,"mmm yyyy"))</x:f>
      </x:c>
    </x:row>
    <x:row r="153">
      <x:c r="A153" s="47"/>
      <x:c r="B153" s="49"/>
      <x:c r="C153" s="49"/>
      <x:c r="D153" s="36"/>
      <x:c r="E153" s="49"/>
      <x:c r="F153" s="51"/>
      <x:c r="G153" s="53"/>
      <x:c r="H153" s="53"/>
      <x:c r="I153" s="53" t="str">
        <x:f>IF(OR(F153="",G153=""),"",IF(F153&gt;0,G153*F153/100,G153*100/ABS(F153)))</x:f>
      </x:c>
      <x:c r="J153" s="53" t="str">
        <x:f>IF(H153="","",IF(H153="Win",I153,IF(H153="Loss",-G153,0)))</x:f>
      </x:c>
      <x:c r="K153" s="53" t="n">
        <x:f>IF(COUNTA(A$5:A153)=0,"",Dashboard!$B$5+SUM(J$5:J153))</x:f>
        <x:v>20.7</x:v>
      </x:c>
      <x:c r="L153" s="55" t="str">
        <x:f>IFERROR(J153/G153,"")</x:f>
      </x:c>
      <x:c r="M153" s="36"/>
      <x:c r="N153" s="57" t="str">
        <x:f>IF(A153="","",TEXT(A153,"mmm yyyy"))</x:f>
      </x:c>
    </x:row>
    <x:row r="154">
      <x:c r="A154" s="47"/>
      <x:c r="B154" s="49"/>
      <x:c r="C154" s="49"/>
      <x:c r="D154" s="36"/>
      <x:c r="E154" s="49"/>
      <x:c r="F154" s="51"/>
      <x:c r="G154" s="53"/>
      <x:c r="H154" s="53"/>
      <x:c r="I154" s="53" t="str">
        <x:f>IF(OR(F154="",G154=""),"",IF(F154&gt;0,G154*F154/100,G154*100/ABS(F154)))</x:f>
      </x:c>
      <x:c r="J154" s="53" t="str">
        <x:f>IF(H154="","",IF(H154="Win",I154,IF(H154="Loss",-G154,0)))</x:f>
      </x:c>
      <x:c r="K154" s="53" t="n">
        <x:f>IF(COUNTA(A$5:A154)=0,"",Dashboard!$B$5+SUM(J$5:J154))</x:f>
        <x:v>20.7</x:v>
      </x:c>
      <x:c r="L154" s="55" t="str">
        <x:f>IFERROR(J154/G154,"")</x:f>
      </x:c>
      <x:c r="M154" s="36"/>
      <x:c r="N154" s="57" t="str">
        <x:f>IF(A154="","",TEXT(A154,"mmm yyyy"))</x:f>
      </x:c>
    </x:row>
    <x:row r="155">
      <x:c r="A155" s="47"/>
      <x:c r="B155" s="49"/>
      <x:c r="C155" s="49"/>
      <x:c r="D155" s="36"/>
      <x:c r="E155" s="49"/>
      <x:c r="F155" s="51"/>
      <x:c r="G155" s="53"/>
      <x:c r="H155" s="53"/>
      <x:c r="I155" s="53" t="str">
        <x:f>IF(OR(F155="",G155=""),"",IF(F155&gt;0,G155*F155/100,G155*100/ABS(F155)))</x:f>
      </x:c>
      <x:c r="J155" s="53" t="str">
        <x:f>IF(H155="","",IF(H155="Win",I155,IF(H155="Loss",-G155,0)))</x:f>
      </x:c>
      <x:c r="K155" s="53" t="n">
        <x:f>IF(COUNTA(A$5:A155)=0,"",Dashboard!$B$5+SUM(J$5:J155))</x:f>
        <x:v>20.7</x:v>
      </x:c>
      <x:c r="L155" s="55" t="str">
        <x:f>IFERROR(J155/G155,"")</x:f>
      </x:c>
      <x:c r="M155" s="36"/>
      <x:c r="N155" s="57" t="str">
        <x:f>IF(A155="","",TEXT(A155,"mmm yyyy"))</x:f>
      </x:c>
    </x:row>
    <x:row r="156">
      <x:c r="A156" s="47"/>
      <x:c r="B156" s="49"/>
      <x:c r="C156" s="49"/>
      <x:c r="D156" s="36"/>
      <x:c r="E156" s="49"/>
      <x:c r="F156" s="51"/>
      <x:c r="G156" s="53"/>
      <x:c r="H156" s="53"/>
      <x:c r="I156" s="53" t="str">
        <x:f>IF(OR(F156="",G156=""),"",IF(F156&gt;0,G156*F156/100,G156*100/ABS(F156)))</x:f>
      </x:c>
      <x:c r="J156" s="53" t="str">
        <x:f>IF(H156="","",IF(H156="Win",I156,IF(H156="Loss",-G156,0)))</x:f>
      </x:c>
      <x:c r="K156" s="53" t="n">
        <x:f>IF(COUNTA(A$5:A156)=0,"",Dashboard!$B$5+SUM(J$5:J156))</x:f>
        <x:v>20.7</x:v>
      </x:c>
      <x:c r="L156" s="55" t="str">
        <x:f>IFERROR(J156/G156,"")</x:f>
      </x:c>
      <x:c r="M156" s="36"/>
      <x:c r="N156" s="57" t="str">
        <x:f>IF(A156="","",TEXT(A156,"mmm yyyy"))</x:f>
      </x:c>
    </x:row>
    <x:row r="157">
      <x:c r="A157" s="47"/>
      <x:c r="B157" s="49"/>
      <x:c r="C157" s="49"/>
      <x:c r="D157" s="36"/>
      <x:c r="E157" s="49"/>
      <x:c r="F157" s="51"/>
      <x:c r="G157" s="53"/>
      <x:c r="H157" s="53"/>
      <x:c r="I157" s="53" t="str">
        <x:f>IF(OR(F157="",G157=""),"",IF(F157&gt;0,G157*F157/100,G157*100/ABS(F157)))</x:f>
      </x:c>
      <x:c r="J157" s="53" t="str">
        <x:f>IF(H157="","",IF(H157="Win",I157,IF(H157="Loss",-G157,0)))</x:f>
      </x:c>
      <x:c r="K157" s="53" t="n">
        <x:f>IF(COUNTA(A$5:A157)=0,"",Dashboard!$B$5+SUM(J$5:J157))</x:f>
        <x:v>20.7</x:v>
      </x:c>
      <x:c r="L157" s="55" t="str">
        <x:f>IFERROR(J157/G157,"")</x:f>
      </x:c>
      <x:c r="M157" s="36"/>
      <x:c r="N157" s="57" t="str">
        <x:f>IF(A157="","",TEXT(A157,"mmm yyyy"))</x:f>
      </x:c>
    </x:row>
    <x:row r="158">
      <x:c r="A158" s="47"/>
      <x:c r="B158" s="49"/>
      <x:c r="C158" s="49"/>
      <x:c r="D158" s="36"/>
      <x:c r="E158" s="49"/>
      <x:c r="F158" s="51"/>
      <x:c r="G158" s="53"/>
      <x:c r="H158" s="53"/>
      <x:c r="I158" s="53" t="str">
        <x:f>IF(OR(F158="",G158=""),"",IF(F158&gt;0,G158*F158/100,G158*100/ABS(F158)))</x:f>
      </x:c>
      <x:c r="J158" s="53" t="str">
        <x:f>IF(H158="","",IF(H158="Win",I158,IF(H158="Loss",-G158,0)))</x:f>
      </x:c>
      <x:c r="K158" s="53" t="n">
        <x:f>IF(COUNTA(A$5:A158)=0,"",Dashboard!$B$5+SUM(J$5:J158))</x:f>
        <x:v>20.7</x:v>
      </x:c>
      <x:c r="L158" s="55" t="str">
        <x:f>IFERROR(J158/G158,"")</x:f>
      </x:c>
      <x:c r="M158" s="36"/>
      <x:c r="N158" s="57" t="str">
        <x:f>IF(A158="","",TEXT(A158,"mmm yyyy"))</x:f>
      </x:c>
    </x:row>
    <x:row r="159">
      <x:c r="A159" s="47"/>
      <x:c r="B159" s="49"/>
      <x:c r="C159" s="49"/>
      <x:c r="D159" s="36"/>
      <x:c r="E159" s="49"/>
      <x:c r="F159" s="51"/>
      <x:c r="G159" s="53"/>
      <x:c r="H159" s="53"/>
      <x:c r="I159" s="53" t="str">
        <x:f>IF(OR(F159="",G159=""),"",IF(F159&gt;0,G159*F159/100,G159*100/ABS(F159)))</x:f>
      </x:c>
      <x:c r="J159" s="53" t="str">
        <x:f>IF(H159="","",IF(H159="Win",I159,IF(H159="Loss",-G159,0)))</x:f>
      </x:c>
      <x:c r="K159" s="53" t="n">
        <x:f>IF(COUNTA(A$5:A159)=0,"",Dashboard!$B$5+SUM(J$5:J159))</x:f>
        <x:v>20.7</x:v>
      </x:c>
      <x:c r="L159" s="55" t="str">
        <x:f>IFERROR(J159/G159,"")</x:f>
      </x:c>
      <x:c r="M159" s="36"/>
      <x:c r="N159" s="57" t="str">
        <x:f>IF(A159="","",TEXT(A159,"mmm yyyy"))</x:f>
      </x:c>
    </x:row>
    <x:row r="160">
      <x:c r="A160" s="47"/>
      <x:c r="B160" s="49"/>
      <x:c r="C160" s="49"/>
      <x:c r="D160" s="36"/>
      <x:c r="E160" s="49"/>
      <x:c r="F160" s="51"/>
      <x:c r="G160" s="53"/>
      <x:c r="H160" s="53"/>
      <x:c r="I160" s="53" t="str">
        <x:f>IF(OR(F160="",G160=""),"",IF(F160&gt;0,G160*F160/100,G160*100/ABS(F160)))</x:f>
      </x:c>
      <x:c r="J160" s="53" t="str">
        <x:f>IF(H160="","",IF(H160="Win",I160,IF(H160="Loss",-G160,0)))</x:f>
      </x:c>
      <x:c r="K160" s="53" t="n">
        <x:f>IF(COUNTA(A$5:A160)=0,"",Dashboard!$B$5+SUM(J$5:J160))</x:f>
        <x:v>20.7</x:v>
      </x:c>
      <x:c r="L160" s="55" t="str">
        <x:f>IFERROR(J160/G160,"")</x:f>
      </x:c>
      <x:c r="M160" s="36"/>
      <x:c r="N160" s="57" t="str">
        <x:f>IF(A160="","",TEXT(A160,"mmm yyyy"))</x:f>
      </x:c>
    </x:row>
    <x:row r="161">
      <x:c r="A161" s="47"/>
      <x:c r="B161" s="49"/>
      <x:c r="C161" s="49"/>
      <x:c r="D161" s="36"/>
      <x:c r="E161" s="49"/>
      <x:c r="F161" s="51"/>
      <x:c r="G161" s="53"/>
      <x:c r="H161" s="53"/>
      <x:c r="I161" s="53" t="str">
        <x:f>IF(OR(F161="",G161=""),"",IF(F161&gt;0,G161*F161/100,G161*100/ABS(F161)))</x:f>
      </x:c>
      <x:c r="J161" s="53" t="str">
        <x:f>IF(H161="","",IF(H161="Win",I161,IF(H161="Loss",-G161,0)))</x:f>
      </x:c>
      <x:c r="K161" s="53" t="n">
        <x:f>IF(COUNTA(A$5:A161)=0,"",Dashboard!$B$5+SUM(J$5:J161))</x:f>
        <x:v>20.7</x:v>
      </x:c>
      <x:c r="L161" s="55" t="str">
        <x:f>IFERROR(J161/G161,"")</x:f>
      </x:c>
      <x:c r="M161" s="36"/>
      <x:c r="N161" s="57" t="str">
        <x:f>IF(A161="","",TEXT(A161,"mmm yyyy"))</x:f>
      </x:c>
    </x:row>
    <x:row r="162">
      <x:c r="A162" s="47"/>
      <x:c r="B162" s="49"/>
      <x:c r="C162" s="49"/>
      <x:c r="D162" s="36"/>
      <x:c r="E162" s="49"/>
      <x:c r="F162" s="51"/>
      <x:c r="G162" s="53"/>
      <x:c r="H162" s="53"/>
      <x:c r="I162" s="53" t="str">
        <x:f>IF(OR(F162="",G162=""),"",IF(F162&gt;0,G162*F162/100,G162*100/ABS(F162)))</x:f>
      </x:c>
      <x:c r="J162" s="53" t="str">
        <x:f>IF(H162="","",IF(H162="Win",I162,IF(H162="Loss",-G162,0)))</x:f>
      </x:c>
      <x:c r="K162" s="53" t="n">
        <x:f>IF(COUNTA(A$5:A162)=0,"",Dashboard!$B$5+SUM(J$5:J162))</x:f>
        <x:v>20.7</x:v>
      </x:c>
      <x:c r="L162" s="55" t="str">
        <x:f>IFERROR(J162/G162,"")</x:f>
      </x:c>
      <x:c r="M162" s="36"/>
      <x:c r="N162" s="57" t="str">
        <x:f>IF(A162="","",TEXT(A162,"mmm yyyy"))</x:f>
      </x:c>
    </x:row>
    <x:row r="163">
      <x:c r="A163" s="47"/>
      <x:c r="B163" s="49"/>
      <x:c r="C163" s="49"/>
      <x:c r="D163" s="36"/>
      <x:c r="E163" s="49"/>
      <x:c r="F163" s="51"/>
      <x:c r="G163" s="53"/>
      <x:c r="H163" s="53"/>
      <x:c r="I163" s="53" t="str">
        <x:f>IF(OR(F163="",G163=""),"",IF(F163&gt;0,G163*F163/100,G163*100/ABS(F163)))</x:f>
      </x:c>
      <x:c r="J163" s="53" t="str">
        <x:f>IF(H163="","",IF(H163="Win",I163,IF(H163="Loss",-G163,0)))</x:f>
      </x:c>
      <x:c r="K163" s="53" t="n">
        <x:f>IF(COUNTA(A$5:A163)=0,"",Dashboard!$B$5+SUM(J$5:J163))</x:f>
        <x:v>20.7</x:v>
      </x:c>
      <x:c r="L163" s="55" t="str">
        <x:f>IFERROR(J163/G163,"")</x:f>
      </x:c>
      <x:c r="M163" s="36"/>
      <x:c r="N163" s="57" t="str">
        <x:f>IF(A163="","",TEXT(A163,"mmm yyyy"))</x:f>
      </x:c>
    </x:row>
    <x:row r="164">
      <x:c r="A164" s="47"/>
      <x:c r="B164" s="49"/>
      <x:c r="C164" s="49"/>
      <x:c r="D164" s="36"/>
      <x:c r="E164" s="49"/>
      <x:c r="F164" s="51"/>
      <x:c r="G164" s="53"/>
      <x:c r="H164" s="53"/>
      <x:c r="I164" s="53" t="str">
        <x:f>IF(OR(F164="",G164=""),"",IF(F164&gt;0,G164*F164/100,G164*100/ABS(F164)))</x:f>
      </x:c>
      <x:c r="J164" s="53" t="str">
        <x:f>IF(H164="","",IF(H164="Win",I164,IF(H164="Loss",-G164,0)))</x:f>
      </x:c>
      <x:c r="K164" s="53" t="n">
        <x:f>IF(COUNTA(A$5:A164)=0,"",Dashboard!$B$5+SUM(J$5:J164))</x:f>
        <x:v>20.7</x:v>
      </x:c>
      <x:c r="L164" s="55" t="str">
        <x:f>IFERROR(J164/G164,"")</x:f>
      </x:c>
      <x:c r="M164" s="36"/>
      <x:c r="N164" s="57" t="str">
        <x:f>IF(A164="","",TEXT(A164,"mmm yyyy"))</x:f>
      </x:c>
    </x:row>
    <x:row r="165">
      <x:c r="A165" s="47"/>
      <x:c r="B165" s="49"/>
      <x:c r="C165" s="49"/>
      <x:c r="D165" s="36"/>
      <x:c r="E165" s="49"/>
      <x:c r="F165" s="51"/>
      <x:c r="G165" s="53"/>
      <x:c r="H165" s="53"/>
      <x:c r="I165" s="53" t="str">
        <x:f>IF(OR(F165="",G165=""),"",IF(F165&gt;0,G165*F165/100,G165*100/ABS(F165)))</x:f>
      </x:c>
      <x:c r="J165" s="53" t="str">
        <x:f>IF(H165="","",IF(H165="Win",I165,IF(H165="Loss",-G165,0)))</x:f>
      </x:c>
      <x:c r="K165" s="53" t="n">
        <x:f>IF(COUNTA(A$5:A165)=0,"",Dashboard!$B$5+SUM(J$5:J165))</x:f>
        <x:v>20.7</x:v>
      </x:c>
      <x:c r="L165" s="55" t="str">
        <x:f>IFERROR(J165/G165,"")</x:f>
      </x:c>
      <x:c r="M165" s="36"/>
      <x:c r="N165" s="57" t="str">
        <x:f>IF(A165="","",TEXT(A165,"mmm yyyy"))</x:f>
      </x:c>
    </x:row>
    <x:row r="166">
      <x:c r="A166" s="47"/>
      <x:c r="B166" s="49"/>
      <x:c r="C166" s="49"/>
      <x:c r="D166" s="36"/>
      <x:c r="E166" s="49"/>
      <x:c r="F166" s="51"/>
      <x:c r="G166" s="53"/>
      <x:c r="H166" s="53"/>
      <x:c r="I166" s="53" t="str">
        <x:f>IF(OR(F166="",G166=""),"",IF(F166&gt;0,G166*F166/100,G166*100/ABS(F166)))</x:f>
      </x:c>
      <x:c r="J166" s="53" t="str">
        <x:f>IF(H166="","",IF(H166="Win",I166,IF(H166="Loss",-G166,0)))</x:f>
      </x:c>
      <x:c r="K166" s="53" t="n">
        <x:f>IF(COUNTA(A$5:A166)=0,"",Dashboard!$B$5+SUM(J$5:J166))</x:f>
        <x:v>20.7</x:v>
      </x:c>
      <x:c r="L166" s="55" t="str">
        <x:f>IFERROR(J166/G166,"")</x:f>
      </x:c>
      <x:c r="M166" s="36"/>
      <x:c r="N166" s="57" t="str">
        <x:f>IF(A166="","",TEXT(A166,"mmm yyyy"))</x:f>
      </x:c>
    </x:row>
    <x:row r="167">
      <x:c r="A167" s="47"/>
      <x:c r="B167" s="49"/>
      <x:c r="C167" s="49"/>
      <x:c r="D167" s="36"/>
      <x:c r="E167" s="49"/>
      <x:c r="F167" s="51"/>
      <x:c r="G167" s="53"/>
      <x:c r="H167" s="53"/>
      <x:c r="I167" s="53" t="str">
        <x:f>IF(OR(F167="",G167=""),"",IF(F167&gt;0,G167*F167/100,G167*100/ABS(F167)))</x:f>
      </x:c>
      <x:c r="J167" s="53" t="str">
        <x:f>IF(H167="","",IF(H167="Win",I167,IF(H167="Loss",-G167,0)))</x:f>
      </x:c>
      <x:c r="K167" s="53" t="n">
        <x:f>IF(COUNTA(A$5:A167)=0,"",Dashboard!$B$5+SUM(J$5:J167))</x:f>
        <x:v>20.7</x:v>
      </x:c>
      <x:c r="L167" s="55" t="str">
        <x:f>IFERROR(J167/G167,"")</x:f>
      </x:c>
      <x:c r="M167" s="36"/>
      <x:c r="N167" s="57" t="str">
        <x:f>IF(A167="","",TEXT(A167,"mmm yyyy"))</x:f>
      </x:c>
    </x:row>
    <x:row r="168">
      <x:c r="A168" s="47"/>
      <x:c r="B168" s="49"/>
      <x:c r="C168" s="49"/>
      <x:c r="D168" s="36"/>
      <x:c r="E168" s="49"/>
      <x:c r="F168" s="51"/>
      <x:c r="G168" s="53"/>
      <x:c r="H168" s="53"/>
      <x:c r="I168" s="53" t="str">
        <x:f>IF(OR(F168="",G168=""),"",IF(F168&gt;0,G168*F168/100,G168*100/ABS(F168)))</x:f>
      </x:c>
      <x:c r="J168" s="53" t="str">
        <x:f>IF(H168="","",IF(H168="Win",I168,IF(H168="Loss",-G168,0)))</x:f>
      </x:c>
      <x:c r="K168" s="53" t="n">
        <x:f>IF(COUNTA(A$5:A168)=0,"",Dashboard!$B$5+SUM(J$5:J168))</x:f>
        <x:v>20.7</x:v>
      </x:c>
      <x:c r="L168" s="55" t="str">
        <x:f>IFERROR(J168/G168,"")</x:f>
      </x:c>
      <x:c r="M168" s="36"/>
      <x:c r="N168" s="57" t="str">
        <x:f>IF(A168="","",TEXT(A168,"mmm yyyy"))</x:f>
      </x:c>
    </x:row>
    <x:row r="169">
      <x:c r="A169" s="47"/>
      <x:c r="B169" s="49"/>
      <x:c r="C169" s="49"/>
      <x:c r="D169" s="36"/>
      <x:c r="E169" s="49"/>
      <x:c r="F169" s="51"/>
      <x:c r="G169" s="53"/>
      <x:c r="H169" s="53"/>
      <x:c r="I169" s="53" t="str">
        <x:f>IF(OR(F169="",G169=""),"",IF(F169&gt;0,G169*F169/100,G169*100/ABS(F169)))</x:f>
      </x:c>
      <x:c r="J169" s="53" t="str">
        <x:f>IF(H169="","",IF(H169="Win",I169,IF(H169="Loss",-G169,0)))</x:f>
      </x:c>
      <x:c r="K169" s="53" t="n">
        <x:f>IF(COUNTA(A$5:A169)=0,"",Dashboard!$B$5+SUM(J$5:J169))</x:f>
        <x:v>20.7</x:v>
      </x:c>
      <x:c r="L169" s="55" t="str">
        <x:f>IFERROR(J169/G169,"")</x:f>
      </x:c>
      <x:c r="M169" s="36"/>
      <x:c r="N169" s="57" t="str">
        <x:f>IF(A169="","",TEXT(A169,"mmm yyyy"))</x:f>
      </x:c>
    </x:row>
    <x:row r="170">
      <x:c r="A170" s="47"/>
      <x:c r="B170" s="49"/>
      <x:c r="C170" s="49"/>
      <x:c r="D170" s="36"/>
      <x:c r="E170" s="49"/>
      <x:c r="F170" s="51"/>
      <x:c r="G170" s="53"/>
      <x:c r="H170" s="53"/>
      <x:c r="I170" s="53" t="str">
        <x:f>IF(OR(F170="",G170=""),"",IF(F170&gt;0,G170*F170/100,G170*100/ABS(F170)))</x:f>
      </x:c>
      <x:c r="J170" s="53" t="str">
        <x:f>IF(H170="","",IF(H170="Win",I170,IF(H170="Loss",-G170,0)))</x:f>
      </x:c>
      <x:c r="K170" s="53" t="n">
        <x:f>IF(COUNTA(A$5:A170)=0,"",Dashboard!$B$5+SUM(J$5:J170))</x:f>
        <x:v>20.7</x:v>
      </x:c>
      <x:c r="L170" s="55" t="str">
        <x:f>IFERROR(J170/G170,"")</x:f>
      </x:c>
      <x:c r="M170" s="36"/>
      <x:c r="N170" s="57" t="str">
        <x:f>IF(A170="","",TEXT(A170,"mmm yyyy"))</x:f>
      </x:c>
    </x:row>
    <x:row r="171">
      <x:c r="A171" s="47"/>
      <x:c r="B171" s="49"/>
      <x:c r="C171" s="49"/>
      <x:c r="D171" s="36"/>
      <x:c r="E171" s="49"/>
      <x:c r="F171" s="51"/>
      <x:c r="G171" s="53"/>
      <x:c r="H171" s="53"/>
      <x:c r="I171" s="53" t="str">
        <x:f>IF(OR(F171="",G171=""),"",IF(F171&gt;0,G171*F171/100,G171*100/ABS(F171)))</x:f>
      </x:c>
      <x:c r="J171" s="53" t="str">
        <x:f>IF(H171="","",IF(H171="Win",I171,IF(H171="Loss",-G171,0)))</x:f>
      </x:c>
      <x:c r="K171" s="53" t="n">
        <x:f>IF(COUNTA(A$5:A171)=0,"",Dashboard!$B$5+SUM(J$5:J171))</x:f>
        <x:v>20.7</x:v>
      </x:c>
      <x:c r="L171" s="55" t="str">
        <x:f>IFERROR(J171/G171,"")</x:f>
      </x:c>
      <x:c r="M171" s="36"/>
      <x:c r="N171" s="57" t="str">
        <x:f>IF(A171="","",TEXT(A171,"mmm yyyy"))</x:f>
      </x:c>
    </x:row>
    <x:row r="172">
      <x:c r="A172" s="47"/>
      <x:c r="B172" s="49"/>
      <x:c r="C172" s="49"/>
      <x:c r="D172" s="36"/>
      <x:c r="E172" s="49"/>
      <x:c r="F172" s="51"/>
      <x:c r="G172" s="53"/>
      <x:c r="H172" s="53"/>
      <x:c r="I172" s="53" t="str">
        <x:f>IF(OR(F172="",G172=""),"",IF(F172&gt;0,G172*F172/100,G172*100/ABS(F172)))</x:f>
      </x:c>
      <x:c r="J172" s="53" t="str">
        <x:f>IF(H172="","",IF(H172="Win",I172,IF(H172="Loss",-G172,0)))</x:f>
      </x:c>
      <x:c r="K172" s="53" t="n">
        <x:f>IF(COUNTA(A$5:A172)=0,"",Dashboard!$B$5+SUM(J$5:J172))</x:f>
        <x:v>20.7</x:v>
      </x:c>
      <x:c r="L172" s="55" t="str">
        <x:f>IFERROR(J172/G172,"")</x:f>
      </x:c>
      <x:c r="M172" s="36"/>
      <x:c r="N172" s="57" t="str">
        <x:f>IF(A172="","",TEXT(A172,"mmm yyyy"))</x:f>
      </x:c>
    </x:row>
    <x:row r="173">
      <x:c r="A173" s="47"/>
      <x:c r="B173" s="49"/>
      <x:c r="C173" s="49"/>
      <x:c r="D173" s="36"/>
      <x:c r="E173" s="49"/>
      <x:c r="F173" s="51"/>
      <x:c r="G173" s="53"/>
      <x:c r="H173" s="53"/>
      <x:c r="I173" s="53" t="str">
        <x:f>IF(OR(F173="",G173=""),"",IF(F173&gt;0,G173*F173/100,G173*100/ABS(F173)))</x:f>
      </x:c>
      <x:c r="J173" s="53" t="str">
        <x:f>IF(H173="","",IF(H173="Win",I173,IF(H173="Loss",-G173,0)))</x:f>
      </x:c>
      <x:c r="K173" s="53" t="n">
        <x:f>IF(COUNTA(A$5:A173)=0,"",Dashboard!$B$5+SUM(J$5:J173))</x:f>
        <x:v>20.7</x:v>
      </x:c>
      <x:c r="L173" s="55" t="str">
        <x:f>IFERROR(J173/G173,"")</x:f>
      </x:c>
      <x:c r="M173" s="36"/>
      <x:c r="N173" s="57" t="str">
        <x:f>IF(A173="","",TEXT(A173,"mmm yyyy"))</x:f>
      </x:c>
    </x:row>
    <x:row r="174">
      <x:c r="A174" s="47"/>
      <x:c r="B174" s="49"/>
      <x:c r="C174" s="49"/>
      <x:c r="D174" s="36"/>
      <x:c r="E174" s="49"/>
      <x:c r="F174" s="51"/>
      <x:c r="G174" s="53"/>
      <x:c r="H174" s="53"/>
      <x:c r="I174" s="53" t="str">
        <x:f>IF(OR(F174="",G174=""),"",IF(F174&gt;0,G174*F174/100,G174*100/ABS(F174)))</x:f>
      </x:c>
      <x:c r="J174" s="53" t="str">
        <x:f>IF(H174="","",IF(H174="Win",I174,IF(H174="Loss",-G174,0)))</x:f>
      </x:c>
      <x:c r="K174" s="53" t="n">
        <x:f>IF(COUNTA(A$5:A174)=0,"",Dashboard!$B$5+SUM(J$5:J174))</x:f>
        <x:v>20.7</x:v>
      </x:c>
      <x:c r="L174" s="55" t="str">
        <x:f>IFERROR(J174/G174,"")</x:f>
      </x:c>
      <x:c r="M174" s="36"/>
      <x:c r="N174" s="57" t="str">
        <x:f>IF(A174="","",TEXT(A174,"mmm yyyy"))</x:f>
      </x:c>
    </x:row>
    <x:row r="175">
      <x:c r="A175" s="47"/>
      <x:c r="B175" s="49"/>
      <x:c r="C175" s="49"/>
      <x:c r="D175" s="36"/>
      <x:c r="E175" s="49"/>
      <x:c r="F175" s="51"/>
      <x:c r="G175" s="53"/>
      <x:c r="H175" s="53"/>
      <x:c r="I175" s="53" t="str">
        <x:f>IF(OR(F175="",G175=""),"",IF(F175&gt;0,G175*F175/100,G175*100/ABS(F175)))</x:f>
      </x:c>
      <x:c r="J175" s="53" t="str">
        <x:f>IF(H175="","",IF(H175="Win",I175,IF(H175="Loss",-G175,0)))</x:f>
      </x:c>
      <x:c r="K175" s="53" t="n">
        <x:f>IF(COUNTA(A$5:A175)=0,"",Dashboard!$B$5+SUM(J$5:J175))</x:f>
        <x:v>20.7</x:v>
      </x:c>
      <x:c r="L175" s="55" t="str">
        <x:f>IFERROR(J175/G175,"")</x:f>
      </x:c>
      <x:c r="M175" s="36"/>
      <x:c r="N175" s="57" t="str">
        <x:f>IF(A175="","",TEXT(A175,"mmm yyyy"))</x:f>
      </x:c>
    </x:row>
    <x:row r="176">
      <x:c r="A176" s="47"/>
      <x:c r="B176" s="49"/>
      <x:c r="C176" s="49"/>
      <x:c r="D176" s="36"/>
      <x:c r="E176" s="49"/>
      <x:c r="F176" s="51"/>
      <x:c r="G176" s="53"/>
      <x:c r="H176" s="53"/>
      <x:c r="I176" s="53" t="str">
        <x:f>IF(OR(F176="",G176=""),"",IF(F176&gt;0,G176*F176/100,G176*100/ABS(F176)))</x:f>
      </x:c>
      <x:c r="J176" s="53" t="str">
        <x:f>IF(H176="","",IF(H176="Win",I176,IF(H176="Loss",-G176,0)))</x:f>
      </x:c>
      <x:c r="K176" s="53" t="n">
        <x:f>IF(COUNTA(A$5:A176)=0,"",Dashboard!$B$5+SUM(J$5:J176))</x:f>
        <x:v>20.7</x:v>
      </x:c>
      <x:c r="L176" s="55" t="str">
        <x:f>IFERROR(J176/G176,"")</x:f>
      </x:c>
      <x:c r="M176" s="36"/>
      <x:c r="N176" s="57" t="str">
        <x:f>IF(A176="","",TEXT(A176,"mmm yyyy"))</x:f>
      </x:c>
    </x:row>
    <x:row r="177">
      <x:c r="A177" s="47"/>
      <x:c r="B177" s="49"/>
      <x:c r="C177" s="49"/>
      <x:c r="D177" s="36"/>
      <x:c r="E177" s="49"/>
      <x:c r="F177" s="51"/>
      <x:c r="G177" s="53"/>
      <x:c r="H177" s="53"/>
      <x:c r="I177" s="53" t="str">
        <x:f>IF(OR(F177="",G177=""),"",IF(F177&gt;0,G177*F177/100,G177*100/ABS(F177)))</x:f>
      </x:c>
      <x:c r="J177" s="53" t="str">
        <x:f>IF(H177="","",IF(H177="Win",I177,IF(H177="Loss",-G177,0)))</x:f>
      </x:c>
      <x:c r="K177" s="53" t="n">
        <x:f>IF(COUNTA(A$5:A177)=0,"",Dashboard!$B$5+SUM(J$5:J177))</x:f>
        <x:v>20.7</x:v>
      </x:c>
      <x:c r="L177" s="55" t="str">
        <x:f>IFERROR(J177/G177,"")</x:f>
      </x:c>
      <x:c r="M177" s="36"/>
      <x:c r="N177" s="57" t="str">
        <x:f>IF(A177="","",TEXT(A177,"mmm yyyy"))</x:f>
      </x:c>
    </x:row>
    <x:row r="178">
      <x:c r="A178" s="47"/>
      <x:c r="B178" s="49"/>
      <x:c r="C178" s="49"/>
      <x:c r="D178" s="36"/>
      <x:c r="E178" s="49"/>
      <x:c r="F178" s="51"/>
      <x:c r="G178" s="53"/>
      <x:c r="H178" s="53"/>
      <x:c r="I178" s="53" t="str">
        <x:f>IF(OR(F178="",G178=""),"",IF(F178&gt;0,G178*F178/100,G178*100/ABS(F178)))</x:f>
      </x:c>
      <x:c r="J178" s="53" t="str">
        <x:f>IF(H178="","",IF(H178="Win",I178,IF(H178="Loss",-G178,0)))</x:f>
      </x:c>
      <x:c r="K178" s="53" t="n">
        <x:f>IF(COUNTA(A$5:A178)=0,"",Dashboard!$B$5+SUM(J$5:J178))</x:f>
        <x:v>20.7</x:v>
      </x:c>
      <x:c r="L178" s="55" t="str">
        <x:f>IFERROR(J178/G178,"")</x:f>
      </x:c>
      <x:c r="M178" s="36"/>
      <x:c r="N178" s="57" t="str">
        <x:f>IF(A178="","",TEXT(A178,"mmm yyyy"))</x:f>
      </x:c>
    </x:row>
    <x:row r="179">
      <x:c r="A179" s="47"/>
      <x:c r="B179" s="49"/>
      <x:c r="C179" s="49"/>
      <x:c r="D179" s="36"/>
      <x:c r="E179" s="49"/>
      <x:c r="F179" s="51"/>
      <x:c r="G179" s="53"/>
      <x:c r="H179" s="53"/>
      <x:c r="I179" s="53" t="str">
        <x:f>IF(OR(F179="",G179=""),"",IF(F179&gt;0,G179*F179/100,G179*100/ABS(F179)))</x:f>
      </x:c>
      <x:c r="J179" s="53" t="str">
        <x:f>IF(H179="","",IF(H179="Win",I179,IF(H179="Loss",-G179,0)))</x:f>
      </x:c>
      <x:c r="K179" s="53" t="n">
        <x:f>IF(COUNTA(A$5:A179)=0,"",Dashboard!$B$5+SUM(J$5:J179))</x:f>
        <x:v>20.7</x:v>
      </x:c>
      <x:c r="L179" s="55" t="str">
        <x:f>IFERROR(J179/G179,"")</x:f>
      </x:c>
      <x:c r="M179" s="36"/>
      <x:c r="N179" s="57" t="str">
        <x:f>IF(A179="","",TEXT(A179,"mmm yyyy"))</x:f>
      </x:c>
    </x:row>
    <x:row r="180">
      <x:c r="A180" s="47"/>
      <x:c r="B180" s="49"/>
      <x:c r="C180" s="49"/>
      <x:c r="D180" s="36"/>
      <x:c r="E180" s="49"/>
      <x:c r="F180" s="51"/>
      <x:c r="G180" s="53"/>
      <x:c r="H180" s="53"/>
      <x:c r="I180" s="53" t="str">
        <x:f>IF(OR(F180="",G180=""),"",IF(F180&gt;0,G180*F180/100,G180*100/ABS(F180)))</x:f>
      </x:c>
      <x:c r="J180" s="53" t="str">
        <x:f>IF(H180="","",IF(H180="Win",I180,IF(H180="Loss",-G180,0)))</x:f>
      </x:c>
      <x:c r="K180" s="53" t="n">
        <x:f>IF(COUNTA(A$5:A180)=0,"",Dashboard!$B$5+SUM(J$5:J180))</x:f>
        <x:v>20.7</x:v>
      </x:c>
      <x:c r="L180" s="55" t="str">
        <x:f>IFERROR(J180/G180,"")</x:f>
      </x:c>
      <x:c r="M180" s="36"/>
      <x:c r="N180" s="57" t="str">
        <x:f>IF(A180="","",TEXT(A180,"mmm yyyy"))</x:f>
      </x:c>
    </x:row>
    <x:row r="181">
      <x:c r="A181" s="47"/>
      <x:c r="B181" s="49"/>
      <x:c r="C181" s="49"/>
      <x:c r="D181" s="36"/>
      <x:c r="E181" s="49"/>
      <x:c r="F181" s="51"/>
      <x:c r="G181" s="53"/>
      <x:c r="H181" s="53"/>
      <x:c r="I181" s="53" t="str">
        <x:f>IF(OR(F181="",G181=""),"",IF(F181&gt;0,G181*F181/100,G181*100/ABS(F181)))</x:f>
      </x:c>
      <x:c r="J181" s="53" t="str">
        <x:f>IF(H181="","",IF(H181="Win",I181,IF(H181="Loss",-G181,0)))</x:f>
      </x:c>
      <x:c r="K181" s="53" t="n">
        <x:f>IF(COUNTA(A$5:A181)=0,"",Dashboard!$B$5+SUM(J$5:J181))</x:f>
        <x:v>20.7</x:v>
      </x:c>
      <x:c r="L181" s="55" t="str">
        <x:f>IFERROR(J181/G181,"")</x:f>
      </x:c>
      <x:c r="M181" s="36"/>
      <x:c r="N181" s="57" t="str">
        <x:f>IF(A181="","",TEXT(A181,"mmm yyyy"))</x:f>
      </x:c>
    </x:row>
    <x:row r="182">
      <x:c r="A182" s="47"/>
      <x:c r="B182" s="49"/>
      <x:c r="C182" s="49"/>
      <x:c r="D182" s="36"/>
      <x:c r="E182" s="49"/>
      <x:c r="F182" s="51"/>
      <x:c r="G182" s="53"/>
      <x:c r="H182" s="53"/>
      <x:c r="I182" s="53" t="str">
        <x:f>IF(OR(F182="",G182=""),"",IF(F182&gt;0,G182*F182/100,G182*100/ABS(F182)))</x:f>
      </x:c>
      <x:c r="J182" s="53" t="str">
        <x:f>IF(H182="","",IF(H182="Win",I182,IF(H182="Loss",-G182,0)))</x:f>
      </x:c>
      <x:c r="K182" s="53" t="n">
        <x:f>IF(COUNTA(A$5:A182)=0,"",Dashboard!$B$5+SUM(J$5:J182))</x:f>
        <x:v>20.7</x:v>
      </x:c>
      <x:c r="L182" s="55" t="str">
        <x:f>IFERROR(J182/G182,"")</x:f>
      </x:c>
      <x:c r="M182" s="36"/>
      <x:c r="N182" s="57" t="str">
        <x:f>IF(A182="","",TEXT(A182,"mmm yyyy"))</x:f>
      </x:c>
    </x:row>
    <x:row r="183">
      <x:c r="A183" s="47"/>
      <x:c r="B183" s="49"/>
      <x:c r="C183" s="49"/>
      <x:c r="D183" s="36"/>
      <x:c r="E183" s="49"/>
      <x:c r="F183" s="51"/>
      <x:c r="G183" s="53"/>
      <x:c r="H183" s="53"/>
      <x:c r="I183" s="53" t="str">
        <x:f>IF(OR(F183="",G183=""),"",IF(F183&gt;0,G183*F183/100,G183*100/ABS(F183)))</x:f>
      </x:c>
      <x:c r="J183" s="53" t="str">
        <x:f>IF(H183="","",IF(H183="Win",I183,IF(H183="Loss",-G183,0)))</x:f>
      </x:c>
      <x:c r="K183" s="53" t="n">
        <x:f>IF(COUNTA(A$5:A183)=0,"",Dashboard!$B$5+SUM(J$5:J183))</x:f>
        <x:v>20.7</x:v>
      </x:c>
      <x:c r="L183" s="55" t="str">
        <x:f>IFERROR(J183/G183,"")</x:f>
      </x:c>
      <x:c r="M183" s="36"/>
      <x:c r="N183" s="57" t="str">
        <x:f>IF(A183="","",TEXT(A183,"mmm yyyy"))</x:f>
      </x:c>
    </x:row>
    <x:row r="184">
      <x:c r="A184" s="47"/>
      <x:c r="B184" s="49"/>
      <x:c r="C184" s="49"/>
      <x:c r="D184" s="36"/>
      <x:c r="E184" s="49"/>
      <x:c r="F184" s="51"/>
      <x:c r="G184" s="53"/>
      <x:c r="H184" s="53"/>
      <x:c r="I184" s="53" t="str">
        <x:f>IF(OR(F184="",G184=""),"",IF(F184&gt;0,G184*F184/100,G184*100/ABS(F184)))</x:f>
      </x:c>
      <x:c r="J184" s="53" t="str">
        <x:f>IF(H184="","",IF(H184="Win",I184,IF(H184="Loss",-G184,0)))</x:f>
      </x:c>
      <x:c r="K184" s="53" t="n">
        <x:f>IF(COUNTA(A$5:A184)=0,"",Dashboard!$B$5+SUM(J$5:J184))</x:f>
        <x:v>20.7</x:v>
      </x:c>
      <x:c r="L184" s="55" t="str">
        <x:f>IFERROR(J184/G184,"")</x:f>
      </x:c>
      <x:c r="M184" s="36"/>
      <x:c r="N184" s="57" t="str">
        <x:f>IF(A184="","",TEXT(A184,"mmm yyyy"))</x:f>
      </x:c>
    </x:row>
    <x:row r="185">
      <x:c r="A185" s="47"/>
      <x:c r="B185" s="49"/>
      <x:c r="C185" s="49"/>
      <x:c r="D185" s="36"/>
      <x:c r="E185" s="49"/>
      <x:c r="F185" s="51"/>
      <x:c r="G185" s="53"/>
      <x:c r="H185" s="53"/>
      <x:c r="I185" s="53" t="str">
        <x:f>IF(OR(F185="",G185=""),"",IF(F185&gt;0,G185*F185/100,G185*100/ABS(F185)))</x:f>
      </x:c>
      <x:c r="J185" s="53" t="str">
        <x:f>IF(H185="","",IF(H185="Win",I185,IF(H185="Loss",-G185,0)))</x:f>
      </x:c>
      <x:c r="K185" s="53" t="n">
        <x:f>IF(COUNTA(A$5:A185)=0,"",Dashboard!$B$5+SUM(J$5:J185))</x:f>
        <x:v>20.7</x:v>
      </x:c>
      <x:c r="L185" s="55" t="str">
        <x:f>IFERROR(J185/G185,"")</x:f>
      </x:c>
      <x:c r="M185" s="36"/>
      <x:c r="N185" s="57" t="str">
        <x:f>IF(A185="","",TEXT(A185,"mmm yyyy"))</x:f>
      </x:c>
    </x:row>
    <x:row r="186">
      <x:c r="A186" s="47"/>
      <x:c r="B186" s="49"/>
      <x:c r="C186" s="49"/>
      <x:c r="D186" s="36"/>
      <x:c r="E186" s="49"/>
      <x:c r="F186" s="51"/>
      <x:c r="G186" s="53"/>
      <x:c r="H186" s="53"/>
      <x:c r="I186" s="53" t="str">
        <x:f>IF(OR(F186="",G186=""),"",IF(F186&gt;0,G186*F186/100,G186*100/ABS(F186)))</x:f>
      </x:c>
      <x:c r="J186" s="53" t="str">
        <x:f>IF(H186="","",IF(H186="Win",I186,IF(H186="Loss",-G186,0)))</x:f>
      </x:c>
      <x:c r="K186" s="53" t="n">
        <x:f>IF(COUNTA(A$5:A186)=0,"",Dashboard!$B$5+SUM(J$5:J186))</x:f>
        <x:v>20.7</x:v>
      </x:c>
      <x:c r="L186" s="55" t="str">
        <x:f>IFERROR(J186/G186,"")</x:f>
      </x:c>
      <x:c r="M186" s="36"/>
      <x:c r="N186" s="57" t="str">
        <x:f>IF(A186="","",TEXT(A186,"mmm yyyy"))</x:f>
      </x:c>
    </x:row>
    <x:row r="187">
      <x:c r="A187" s="47"/>
      <x:c r="B187" s="49"/>
      <x:c r="C187" s="49"/>
      <x:c r="D187" s="36"/>
      <x:c r="E187" s="49"/>
      <x:c r="F187" s="51"/>
      <x:c r="G187" s="53"/>
      <x:c r="H187" s="53"/>
      <x:c r="I187" s="53" t="str">
        <x:f>IF(OR(F187="",G187=""),"",IF(F187&gt;0,G187*F187/100,G187*100/ABS(F187)))</x:f>
      </x:c>
      <x:c r="J187" s="53" t="str">
        <x:f>IF(H187="","",IF(H187="Win",I187,IF(H187="Loss",-G187,0)))</x:f>
      </x:c>
      <x:c r="K187" s="53" t="n">
        <x:f>IF(COUNTA(A$5:A187)=0,"",Dashboard!$B$5+SUM(J$5:J187))</x:f>
        <x:v>20.7</x:v>
      </x:c>
      <x:c r="L187" s="55" t="str">
        <x:f>IFERROR(J187/G187,"")</x:f>
      </x:c>
      <x:c r="M187" s="36"/>
      <x:c r="N187" s="57" t="str">
        <x:f>IF(A187="","",TEXT(A187,"mmm yyyy"))</x:f>
      </x:c>
    </x:row>
    <x:row r="188">
      <x:c r="A188" s="47"/>
      <x:c r="B188" s="49"/>
      <x:c r="C188" s="49"/>
      <x:c r="D188" s="36"/>
      <x:c r="E188" s="49"/>
      <x:c r="F188" s="51"/>
      <x:c r="G188" s="53"/>
      <x:c r="H188" s="53"/>
      <x:c r="I188" s="53" t="str">
        <x:f>IF(OR(F188="",G188=""),"",IF(F188&gt;0,G188*F188/100,G188*100/ABS(F188)))</x:f>
      </x:c>
      <x:c r="J188" s="53" t="str">
        <x:f>IF(H188="","",IF(H188="Win",I188,IF(H188="Loss",-G188,0)))</x:f>
      </x:c>
      <x:c r="K188" s="53" t="n">
        <x:f>IF(COUNTA(A$5:A188)=0,"",Dashboard!$B$5+SUM(J$5:J188))</x:f>
        <x:v>20.7</x:v>
      </x:c>
      <x:c r="L188" s="55" t="str">
        <x:f>IFERROR(J188/G188,"")</x:f>
      </x:c>
      <x:c r="M188" s="36"/>
      <x:c r="N188" s="57" t="str">
        <x:f>IF(A188="","",TEXT(A188,"mmm yyyy"))</x:f>
      </x:c>
    </x:row>
    <x:row r="189">
      <x:c r="A189" s="47"/>
      <x:c r="B189" s="49"/>
      <x:c r="C189" s="49"/>
      <x:c r="D189" s="36"/>
      <x:c r="E189" s="49"/>
      <x:c r="F189" s="51"/>
      <x:c r="G189" s="53"/>
      <x:c r="H189" s="53"/>
      <x:c r="I189" s="53" t="str">
        <x:f>IF(OR(F189="",G189=""),"",IF(F189&gt;0,G189*F189/100,G189*100/ABS(F189)))</x:f>
      </x:c>
      <x:c r="J189" s="53" t="str">
        <x:f>IF(H189="","",IF(H189="Win",I189,IF(H189="Loss",-G189,0)))</x:f>
      </x:c>
      <x:c r="K189" s="53" t="n">
        <x:f>IF(COUNTA(A$5:A189)=0,"",Dashboard!$B$5+SUM(J$5:J189))</x:f>
        <x:v>20.7</x:v>
      </x:c>
      <x:c r="L189" s="55" t="str">
        <x:f>IFERROR(J189/G189,"")</x:f>
      </x:c>
      <x:c r="M189" s="36"/>
      <x:c r="N189" s="57" t="str">
        <x:f>IF(A189="","",TEXT(A189,"mmm yyyy"))</x:f>
      </x:c>
    </x:row>
    <x:row r="190">
      <x:c r="A190" s="47"/>
      <x:c r="B190" s="49"/>
      <x:c r="C190" s="49"/>
      <x:c r="D190" s="36"/>
      <x:c r="E190" s="49"/>
      <x:c r="F190" s="51"/>
      <x:c r="G190" s="53"/>
      <x:c r="H190" s="53"/>
      <x:c r="I190" s="53" t="str">
        <x:f>IF(OR(F190="",G190=""),"",IF(F190&gt;0,G190*F190/100,G190*100/ABS(F190)))</x:f>
      </x:c>
      <x:c r="J190" s="53" t="str">
        <x:f>IF(H190="","",IF(H190="Win",I190,IF(H190="Loss",-G190,0)))</x:f>
      </x:c>
      <x:c r="K190" s="53" t="n">
        <x:f>IF(COUNTA(A$5:A190)=0,"",Dashboard!$B$5+SUM(J$5:J190))</x:f>
        <x:v>20.7</x:v>
      </x:c>
      <x:c r="L190" s="55" t="str">
        <x:f>IFERROR(J190/G190,"")</x:f>
      </x:c>
      <x:c r="M190" s="36"/>
      <x:c r="N190" s="57" t="str">
        <x:f>IF(A190="","",TEXT(A190,"mmm yyyy"))</x:f>
      </x:c>
    </x:row>
    <x:row r="191">
      <x:c r="A191" s="47"/>
      <x:c r="B191" s="49"/>
      <x:c r="C191" s="49"/>
      <x:c r="D191" s="36"/>
      <x:c r="E191" s="49"/>
      <x:c r="F191" s="51"/>
      <x:c r="G191" s="53"/>
      <x:c r="H191" s="53"/>
      <x:c r="I191" s="53" t="str">
        <x:f>IF(OR(F191="",G191=""),"",IF(F191&gt;0,G191*F191/100,G191*100/ABS(F191)))</x:f>
      </x:c>
      <x:c r="J191" s="53" t="str">
        <x:f>IF(H191="","",IF(H191="Win",I191,IF(H191="Loss",-G191,0)))</x:f>
      </x:c>
      <x:c r="K191" s="53" t="n">
        <x:f>IF(COUNTA(A$5:A191)=0,"",Dashboard!$B$5+SUM(J$5:J191))</x:f>
        <x:v>20.7</x:v>
      </x:c>
      <x:c r="L191" s="55" t="str">
        <x:f>IFERROR(J191/G191,"")</x:f>
      </x:c>
      <x:c r="M191" s="36"/>
      <x:c r="N191" s="57" t="str">
        <x:f>IF(A191="","",TEXT(A191,"mmm yyyy"))</x:f>
      </x:c>
    </x:row>
    <x:row r="192">
      <x:c r="A192" s="47"/>
      <x:c r="B192" s="49"/>
      <x:c r="C192" s="49"/>
      <x:c r="D192" s="36"/>
      <x:c r="E192" s="49"/>
      <x:c r="F192" s="51"/>
      <x:c r="G192" s="53"/>
      <x:c r="H192" s="53"/>
      <x:c r="I192" s="53" t="str">
        <x:f>IF(OR(F192="",G192=""),"",IF(F192&gt;0,G192*F192/100,G192*100/ABS(F192)))</x:f>
      </x:c>
      <x:c r="J192" s="53" t="str">
        <x:f>IF(H192="","",IF(H192="Win",I192,IF(H192="Loss",-G192,0)))</x:f>
      </x:c>
      <x:c r="K192" s="53" t="n">
        <x:f>IF(COUNTA(A$5:A192)=0,"",Dashboard!$B$5+SUM(J$5:J192))</x:f>
        <x:v>20.7</x:v>
      </x:c>
      <x:c r="L192" s="55" t="str">
        <x:f>IFERROR(J192/G192,"")</x:f>
      </x:c>
      <x:c r="M192" s="36"/>
      <x:c r="N192" s="57" t="str">
        <x:f>IF(A192="","",TEXT(A192,"mmm yyyy"))</x:f>
      </x:c>
    </x:row>
    <x:row r="193">
      <x:c r="A193" s="47"/>
      <x:c r="B193" s="49"/>
      <x:c r="C193" s="49"/>
      <x:c r="D193" s="36"/>
      <x:c r="E193" s="49"/>
      <x:c r="F193" s="51"/>
      <x:c r="G193" s="53"/>
      <x:c r="H193" s="53"/>
      <x:c r="I193" s="53" t="str">
        <x:f>IF(OR(F193="",G193=""),"",IF(F193&gt;0,G193*F193/100,G193*100/ABS(F193)))</x:f>
      </x:c>
      <x:c r="J193" s="53" t="str">
        <x:f>IF(H193="","",IF(H193="Win",I193,IF(H193="Loss",-G193,0)))</x:f>
      </x:c>
      <x:c r="K193" s="53" t="n">
        <x:f>IF(COUNTA(A$5:A193)=0,"",Dashboard!$B$5+SUM(J$5:J193))</x:f>
        <x:v>20.7</x:v>
      </x:c>
      <x:c r="L193" s="55" t="str">
        <x:f>IFERROR(J193/G193,"")</x:f>
      </x:c>
      <x:c r="M193" s="36"/>
      <x:c r="N193" s="57" t="str">
        <x:f>IF(A193="","",TEXT(A193,"mmm yyyy"))</x:f>
      </x:c>
    </x:row>
    <x:row r="194">
      <x:c r="A194" s="47"/>
      <x:c r="B194" s="49"/>
      <x:c r="C194" s="49"/>
      <x:c r="D194" s="36"/>
      <x:c r="E194" s="49"/>
      <x:c r="F194" s="51"/>
      <x:c r="G194" s="53"/>
      <x:c r="H194" s="53"/>
      <x:c r="I194" s="53" t="str">
        <x:f>IF(OR(F194="",G194=""),"",IF(F194&gt;0,G194*F194/100,G194*100/ABS(F194)))</x:f>
      </x:c>
      <x:c r="J194" s="53" t="str">
        <x:f>IF(H194="","",IF(H194="Win",I194,IF(H194="Loss",-G194,0)))</x:f>
      </x:c>
      <x:c r="K194" s="53" t="n">
        <x:f>IF(COUNTA(A$5:A194)=0,"",Dashboard!$B$5+SUM(J$5:J194))</x:f>
        <x:v>20.7</x:v>
      </x:c>
      <x:c r="L194" s="55" t="str">
        <x:f>IFERROR(J194/G194,"")</x:f>
      </x:c>
      <x:c r="M194" s="36"/>
      <x:c r="N194" s="57" t="str">
        <x:f>IF(A194="","",TEXT(A194,"mmm yyyy"))</x:f>
      </x:c>
    </x:row>
    <x:row r="195">
      <x:c r="A195" s="47"/>
      <x:c r="B195" s="49"/>
      <x:c r="C195" s="49"/>
      <x:c r="D195" s="36"/>
      <x:c r="E195" s="49"/>
      <x:c r="F195" s="51"/>
      <x:c r="G195" s="53"/>
      <x:c r="H195" s="53"/>
      <x:c r="I195" s="53" t="str">
        <x:f>IF(OR(F195="",G195=""),"",IF(F195&gt;0,G195*F195/100,G195*100/ABS(F195)))</x:f>
      </x:c>
      <x:c r="J195" s="53" t="str">
        <x:f>IF(H195="","",IF(H195="Win",I195,IF(H195="Loss",-G195,0)))</x:f>
      </x:c>
      <x:c r="K195" s="53" t="n">
        <x:f>IF(COUNTA(A$5:A195)=0,"",Dashboard!$B$5+SUM(J$5:J195))</x:f>
        <x:v>20.7</x:v>
      </x:c>
      <x:c r="L195" s="55" t="str">
        <x:f>IFERROR(J195/G195,"")</x:f>
      </x:c>
      <x:c r="M195" s="36"/>
      <x:c r="N195" s="57" t="str">
        <x:f>IF(A195="","",TEXT(A195,"mmm yyyy"))</x:f>
      </x:c>
    </x:row>
    <x:row r="196">
      <x:c r="A196" s="47"/>
      <x:c r="B196" s="49"/>
      <x:c r="C196" s="49"/>
      <x:c r="D196" s="36"/>
      <x:c r="E196" s="49"/>
      <x:c r="F196" s="51"/>
      <x:c r="G196" s="53"/>
      <x:c r="H196" s="53"/>
      <x:c r="I196" s="53" t="str">
        <x:f>IF(OR(F196="",G196=""),"",IF(F196&gt;0,G196*F196/100,G196*100/ABS(F196)))</x:f>
      </x:c>
      <x:c r="J196" s="53" t="str">
        <x:f>IF(H196="","",IF(H196="Win",I196,IF(H196="Loss",-G196,0)))</x:f>
      </x:c>
      <x:c r="K196" s="53" t="n">
        <x:f>IF(COUNTA(A$5:A196)=0,"",Dashboard!$B$5+SUM(J$5:J196))</x:f>
        <x:v>20.7</x:v>
      </x:c>
      <x:c r="L196" s="55" t="str">
        <x:f>IFERROR(J196/G196,"")</x:f>
      </x:c>
      <x:c r="M196" s="36"/>
      <x:c r="N196" s="57" t="str">
        <x:f>IF(A196="","",TEXT(A196,"mmm yyyy"))</x:f>
      </x:c>
    </x:row>
    <x:row r="197">
      <x:c r="A197" s="47"/>
      <x:c r="B197" s="49"/>
      <x:c r="C197" s="49"/>
      <x:c r="D197" s="36"/>
      <x:c r="E197" s="49"/>
      <x:c r="F197" s="51"/>
      <x:c r="G197" s="53"/>
      <x:c r="H197" s="53"/>
      <x:c r="I197" s="53" t="str">
        <x:f>IF(OR(F197="",G197=""),"",IF(F197&gt;0,G197*F197/100,G197*100/ABS(F197)))</x:f>
      </x:c>
      <x:c r="J197" s="53" t="str">
        <x:f>IF(H197="","",IF(H197="Win",I197,IF(H197="Loss",-G197,0)))</x:f>
      </x:c>
      <x:c r="K197" s="53" t="n">
        <x:f>IF(COUNTA(A$5:A197)=0,"",Dashboard!$B$5+SUM(J$5:J197))</x:f>
        <x:v>20.7</x:v>
      </x:c>
      <x:c r="L197" s="55" t="str">
        <x:f>IFERROR(J197/G197,"")</x:f>
      </x:c>
      <x:c r="M197" s="36"/>
      <x:c r="N197" s="57" t="str">
        <x:f>IF(A197="","",TEXT(A197,"mmm yyyy"))</x:f>
      </x:c>
    </x:row>
    <x:row r="198">
      <x:c r="A198" s="47"/>
      <x:c r="B198" s="49"/>
      <x:c r="C198" s="49"/>
      <x:c r="D198" s="36"/>
      <x:c r="E198" s="49"/>
      <x:c r="F198" s="51"/>
      <x:c r="G198" s="53"/>
      <x:c r="H198" s="53"/>
      <x:c r="I198" s="53" t="str">
        <x:f>IF(OR(F198="",G198=""),"",IF(F198&gt;0,G198*F198/100,G198*100/ABS(F198)))</x:f>
      </x:c>
      <x:c r="J198" s="53" t="str">
        <x:f>IF(H198="","",IF(H198="Win",I198,IF(H198="Loss",-G198,0)))</x:f>
      </x:c>
      <x:c r="K198" s="53" t="n">
        <x:f>IF(COUNTA(A$5:A198)=0,"",Dashboard!$B$5+SUM(J$5:J198))</x:f>
        <x:v>20.7</x:v>
      </x:c>
      <x:c r="L198" s="55" t="str">
        <x:f>IFERROR(J198/G198,"")</x:f>
      </x:c>
      <x:c r="M198" s="36"/>
      <x:c r="N198" s="57" t="str">
        <x:f>IF(A198="","",TEXT(A198,"mmm yyyy"))</x:f>
      </x:c>
    </x:row>
    <x:row r="199">
      <x:c r="A199" s="47"/>
      <x:c r="B199" s="49"/>
      <x:c r="C199" s="49"/>
      <x:c r="D199" s="36"/>
      <x:c r="E199" s="49"/>
      <x:c r="F199" s="51"/>
      <x:c r="G199" s="53"/>
      <x:c r="H199" s="53"/>
      <x:c r="I199" s="53" t="str">
        <x:f>IF(OR(F199="",G199=""),"",IF(F199&gt;0,G199*F199/100,G199*100/ABS(F199)))</x:f>
      </x:c>
      <x:c r="J199" s="53" t="str">
        <x:f>IF(H199="","",IF(H199="Win",I199,IF(H199="Loss",-G199,0)))</x:f>
      </x:c>
      <x:c r="K199" s="53" t="n">
        <x:f>IF(COUNTA(A$5:A199)=0,"",Dashboard!$B$5+SUM(J$5:J199))</x:f>
        <x:v>20.7</x:v>
      </x:c>
      <x:c r="L199" s="55" t="str">
        <x:f>IFERROR(J199/G199,"")</x:f>
      </x:c>
      <x:c r="M199" s="36"/>
      <x:c r="N199" s="57" t="str">
        <x:f>IF(A199="","",TEXT(A199,"mmm yyyy"))</x:f>
      </x:c>
    </x:row>
    <x:row r="200">
      <x:c r="A200" s="47"/>
      <x:c r="B200" s="49"/>
      <x:c r="C200" s="49"/>
      <x:c r="D200" s="36"/>
      <x:c r="E200" s="49"/>
      <x:c r="F200" s="51"/>
      <x:c r="G200" s="53"/>
      <x:c r="H200" s="53"/>
      <x:c r="I200" s="53" t="str">
        <x:f>IF(OR(F200="",G200=""),"",IF(F200&gt;0,G200*F200/100,G200*100/ABS(F200)))</x:f>
      </x:c>
      <x:c r="J200" s="53" t="str">
        <x:f>IF(H200="","",IF(H200="Win",I200,IF(H200="Loss",-G200,0)))</x:f>
      </x:c>
      <x:c r="K200" s="53" t="n">
        <x:f>IF(COUNTA(A$5:A200)=0,"",Dashboard!$B$5+SUM(J$5:J200))</x:f>
        <x:v>20.7</x:v>
      </x:c>
      <x:c r="L200" s="55" t="str">
        <x:f>IFERROR(J200/G200,"")</x:f>
      </x:c>
      <x:c r="M200" s="36"/>
      <x:c r="N200" s="57" t="str">
        <x:f>IF(A200="","",TEXT(A200,"mmm yyyy"))</x:f>
      </x:c>
    </x:row>
    <x:row r="201">
      <x:c r="A201" s="47"/>
      <x:c r="B201" s="49"/>
      <x:c r="C201" s="49"/>
      <x:c r="D201" s="36"/>
      <x:c r="E201" s="49"/>
      <x:c r="F201" s="51"/>
      <x:c r="G201" s="53"/>
      <x:c r="H201" s="53"/>
      <x:c r="I201" s="53" t="str">
        <x:f>IF(OR(F201="",G201=""),"",IF(F201&gt;0,G201*F201/100,G201*100/ABS(F201)))</x:f>
      </x:c>
      <x:c r="J201" s="53" t="str">
        <x:f>IF(H201="","",IF(H201="Win",I201,IF(H201="Loss",-G201,0)))</x:f>
      </x:c>
      <x:c r="K201" s="53" t="n">
        <x:f>IF(COUNTA(A$5:A201)=0,"",Dashboard!$B$5+SUM(J$5:J201))</x:f>
        <x:v>20.7</x:v>
      </x:c>
      <x:c r="L201" s="55" t="str">
        <x:f>IFERROR(J201/G201,"")</x:f>
      </x:c>
      <x:c r="M201" s="36"/>
      <x:c r="N201" s="57" t="str">
        <x:f>IF(A201="","",TEXT(A201,"mmm yyyy"))</x:f>
      </x:c>
    </x:row>
    <x:row r="202">
      <x:c r="A202" s="47"/>
      <x:c r="B202" s="49"/>
      <x:c r="C202" s="49"/>
      <x:c r="D202" s="36"/>
      <x:c r="E202" s="49"/>
      <x:c r="F202" s="51"/>
      <x:c r="G202" s="53"/>
      <x:c r="H202" s="53"/>
      <x:c r="I202" s="53" t="str">
        <x:f>IF(OR(F202="",G202=""),"",IF(F202&gt;0,G202*F202/100,G202*100/ABS(F202)))</x:f>
      </x:c>
      <x:c r="J202" s="53" t="str">
        <x:f>IF(H202="","",IF(H202="Win",I202,IF(H202="Loss",-G202,0)))</x:f>
      </x:c>
      <x:c r="K202" s="53" t="n">
        <x:f>IF(COUNTA(A$5:A202)=0,"",Dashboard!$B$5+SUM(J$5:J202))</x:f>
        <x:v>20.7</x:v>
      </x:c>
      <x:c r="L202" s="55" t="str">
        <x:f>IFERROR(J202/G202,"")</x:f>
      </x:c>
      <x:c r="M202" s="36"/>
      <x:c r="N202" s="57" t="str">
        <x:f>IF(A202="","",TEXT(A202,"mmm yyyy"))</x:f>
      </x:c>
    </x:row>
    <x:row r="203">
      <x:c r="A203" s="47"/>
      <x:c r="B203" s="49"/>
      <x:c r="C203" s="49"/>
      <x:c r="D203" s="36"/>
      <x:c r="E203" s="49"/>
      <x:c r="F203" s="51"/>
      <x:c r="G203" s="53"/>
      <x:c r="H203" s="53"/>
      <x:c r="I203" s="53" t="str">
        <x:f>IF(OR(F203="",G203=""),"",IF(F203&gt;0,G203*F203/100,G203*100/ABS(F203)))</x:f>
      </x:c>
      <x:c r="J203" s="53" t="str">
        <x:f>IF(H203="","",IF(H203="Win",I203,IF(H203="Loss",-G203,0)))</x:f>
      </x:c>
      <x:c r="K203" s="53" t="n">
        <x:f>IF(COUNTA(A$5:A203)=0,"",Dashboard!$B$5+SUM(J$5:J203))</x:f>
        <x:v>20.7</x:v>
      </x:c>
      <x:c r="L203" s="55" t="str">
        <x:f>IFERROR(J203/G203,"")</x:f>
      </x:c>
      <x:c r="M203" s="36"/>
      <x:c r="N203" s="57" t="str">
        <x:f>IF(A203="","",TEXT(A203,"mmm yyyy"))</x:f>
      </x:c>
    </x:row>
    <x:row r="204">
      <x:c r="A204" s="48"/>
      <x:c r="B204" s="50"/>
      <x:c r="C204" s="50"/>
      <x:c r="D204" s="42"/>
      <x:c r="E204" s="50"/>
      <x:c r="F204" s="52"/>
      <x:c r="G204" s="54"/>
      <x:c r="H204" s="54"/>
      <x:c r="I204" s="54" t="str">
        <x:f>IF(OR(F204="",G204=""),"",IF(F204&gt;0,G204*F204/100,G204*100/ABS(F204)))</x:f>
      </x:c>
      <x:c r="J204" s="54" t="str">
        <x:f>IF(H204="","",IF(H204="Win",I204,IF(H204="Loss",-G204,0)))</x:f>
      </x:c>
      <x:c r="K204" s="54" t="n">
        <x:f>IF(COUNTA(A$5:A204)=0,"",Dashboard!$B$5+SUM(J$5:J204))</x:f>
        <x:v>20.7</x:v>
      </x:c>
      <x:c r="L204" s="56" t="str">
        <x:f>IFERROR(J204/G204,"")</x:f>
      </x:c>
      <x:c r="M204" s="42"/>
      <x:c r="N204" s="58" t="str">
        <x:f>IF(A204="","",TEXT(A204,"mmm yyyy"))</x:f>
      </x:c>
    </x:row>
  </x:sheetData>
  <x:mergeCells>
    <x:mergeCell ref="A1:N1"/>
    <x:mergeCell ref="A2:N2"/>
  </x:mergeCells>
  <x:conditionalFormatting sqref="J5:J20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H5:H204">
    <x:cfRule type="containsText" dxfId="2" priority="3" operator="containsText" text="Win"/>
    <x:cfRule type="containsText" dxfId="3" priority="4" operator="containsText" text="Loss"/>
  </x:conditionalFormatting>
  <x:dataValidations count="5">
    <x:dataValidation type="date" operator="between" sqref="A5:A204">
      <x:formula1>DATE(2020,1,1)</x:formula1>
      <x:formula2>DATE(2035,12,31)</x:formula2>
    </x:dataValidation>
    <x:dataValidation type="list" sqref="B5:B204">
      <x:formula1>'Lists'!$A$2:$A$6</x:formula1>
    </x:dataValidation>
    <x:dataValidation type="list" sqref="C5:C204">
      <x:formula1>'Lists'!$D$2:$D$7</x:formula1>
    </x:dataValidation>
    <x:dataValidation type="list" sqref="E5:E204">
      <x:formula1>'Lists'!$B$2:$B$5</x:formula1>
    </x:dataValidation>
    <x:dataValidation type="list" sqref="H5:H204">
      <x:formula1>'Lists'!$C$2:$C$4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aa368378bc4a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" t="str">
        <x:v>Sport</x:v>
      </x:c>
      <x:c r="B1" s="2" t="str">
        <x:v>Bet Type</x:v>
      </x:c>
      <x:c r="C1" s="2" t="str">
        <x:v>Result</x:v>
      </x:c>
      <x:c r="D1" s="2" t="str">
        <x:v>Sportsbook</x:v>
      </x:c>
    </x:row>
    <x:row r="2">
      <x:c r="A2" t="str">
        <x:v>NFL</x:v>
      </x:c>
      <x:c r="B2" t="str">
        <x:v>Straight</x:v>
      </x:c>
      <x:c r="C2" t="str">
        <x:v>Pending</x:v>
      </x:c>
      <x:c r="D2" t="str">
        <x:v>DraftKings</x:v>
      </x:c>
    </x:row>
    <x:row r="3">
      <x:c r="A3" t="str">
        <x:v>NBA</x:v>
      </x:c>
      <x:c r="B3" t="str">
        <x:v>Parlay</x:v>
      </x:c>
      <x:c r="C3" t="str">
        <x:v>Win</x:v>
      </x:c>
      <x:c r="D3" t="str">
        <x:v>FanDuel</x:v>
      </x:c>
    </x:row>
    <x:row r="4">
      <x:c r="A4" t="str">
        <x:v>MLB</x:v>
      </x:c>
      <x:c r="B4" t="str">
        <x:v>Live</x:v>
      </x:c>
      <x:c r="C4" t="str">
        <x:v>Loss</x:v>
      </x:c>
      <x:c r="D4" t="str">
        <x:v>BetMGM</x:v>
      </x:c>
    </x:row>
    <x:row r="5">
      <x:c r="A5" t="str">
        <x:v>NHL</x:v>
      </x:c>
      <x:c r="B5" t="str">
        <x:v>Future</x:v>
      </x:c>
      <x:c r="D5" t="str">
        <x:v>Caesars</x:v>
      </x:c>
    </x:row>
    <x:row r="6">
      <x:c r="A6" t="str">
        <x:v>Other</x:v>
      </x:c>
      <x:c r="D6" t="str">
        <x:v>Fanatics</x:v>
      </x:c>
    </x:row>
    <x:row r="7">
      <x:c r="D7" t="str">
        <x:v>Other</x:v>
      </x:c>
    </x:row>
  </x:sheetData>
  <x:pageMargins left="0.7" right="0.7" top="0.75" bottom="0.75" header="0.3" footer="0.3"/>
</x:worksheet>
</file>